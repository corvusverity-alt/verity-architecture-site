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W1" sheetId="2" state="visible" r:id="rId4"/>
    <sheet name="W2" sheetId="3" state="visible" r:id="rId5"/>
    <sheet name="W3" sheetId="4" state="visible" r:id="rId6"/>
    <sheet name="W4" sheetId="5" state="visible" r:id="rId7"/>
    <sheet name="W5" sheetId="6" state="visible" r:id="rId8"/>
    <sheet name="W6" sheetId="7" state="visible" r:id="rId9"/>
    <sheet name="W7" sheetId="8" state="visible" r:id="rId10"/>
    <sheet name="W8" sheetId="9" state="visible" r:id="rId11"/>
    <sheet name="W9" sheetId="10" state="visible" r:id="rId12"/>
    <sheet name="W10" sheetId="11" state="visible" r:id="rId13"/>
    <sheet name="W11" sheetId="12" state="visible" r:id="rId14"/>
    <sheet name="W12" sheetId="13" state="visible" r:id="rId15"/>
    <sheet name="W13" sheetId="14" state="visible" r:id="rId16"/>
    <sheet name="W14" sheetId="15" state="visible" r:id="rId17"/>
    <sheet name="W15" sheetId="16" state="visible" r:id="rId18"/>
    <sheet name="W16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<sst xmlns="http://schemas.openxmlformats.org/spreadsheetml/2006/main" count="398" uniqueCount="313">
  <si>
    <t xml:space="preserve">FINANCIALLY TRAPPED · THE ARCHITECT'S WORKING DOCUMENTS</t>
  </si>
  <si>
    <t xml:space="preserve">Financially Trapped: The Engineering of Persistence — Corvus Verity</t>
  </si>
  <si>
    <t xml:space="preserve">Click any worksheet name to navigate to it. Blue cells are inputs. Black cells are formulas — do not overwrite.</t>
  </si>
  <si>
    <t xml:space="preserve">W1</t>
  </si>
  <si>
    <t xml:space="preserve">The Shopping Cart Protocol</t>
  </si>
  <si>
    <t xml:space="preserve">Found Money Log · TFSA Checklist · First Injection Record</t>
  </si>
  <si>
    <t xml:space="preserve">W2</t>
  </si>
  <si>
    <t xml:space="preserve">The Pantry-Level Math</t>
  </si>
  <si>
    <t xml:space="preserve">Live Engine Price · Days of Freedom progress bar</t>
  </si>
  <si>
    <t xml:space="preserve">W3</t>
  </si>
  <si>
    <t xml:space="preserve">The Triple-TFSA Blueprint</t>
  </si>
  <si>
    <t xml:space="preserve">Three-Engine Setup · Build Timeline</t>
  </si>
  <si>
    <t xml:space="preserve">W4</t>
  </si>
  <si>
    <t xml:space="preserve">The Leech and the Cage</t>
  </si>
  <si>
    <t xml:space="preserve">MER Audit · 30-Year True Cost Comparison</t>
  </si>
  <si>
    <t xml:space="preserve">W5</t>
  </si>
  <si>
    <t xml:space="preserve">The Redundancy of the Fleet</t>
  </si>
  <si>
    <t xml:space="preserve">SPOF Inventory · Vehicle Fleet Status</t>
  </si>
  <si>
    <t xml:space="preserve">W6</t>
  </si>
  <si>
    <t xml:space="preserve">The Bill Slayer</t>
  </si>
  <si>
    <t xml:space="preserve">Live Execution List · Return Pipe Revolt tracker</t>
  </si>
  <si>
    <t xml:space="preserve">W7</t>
  </si>
  <si>
    <t xml:space="preserve">Threading the Needle</t>
  </si>
  <si>
    <t xml:space="preserve">Debt Decision Matrix · Injection Commitment</t>
  </si>
  <si>
    <t xml:space="preserve">W8</t>
  </si>
  <si>
    <t xml:space="preserve">The 40-Hour Banked Week</t>
  </si>
  <si>
    <t xml:space="preserve">Labor Conversion Rate · Sprint Target Plan</t>
  </si>
  <si>
    <t xml:space="preserve">W9</t>
  </si>
  <si>
    <t xml:space="preserve">The Household Perimeter</t>
  </si>
  <si>
    <t xml:space="preserve">TFSA Capacity · Project Liberty Tracker</t>
  </si>
  <si>
    <t xml:space="preserve">W10</t>
  </si>
  <si>
    <t xml:space="preserve">The Smooth Ride</t>
  </si>
  <si>
    <t xml:space="preserve">January 1st Calibration · Sinking Fund Inventory</t>
  </si>
  <si>
    <t xml:space="preserve">W11</t>
  </si>
  <si>
    <t xml:space="preserve">The Chaos Discount</t>
  </si>
  <si>
    <t xml:space="preserve">Discount Multipliers · DRIP Audit · Personal Protocol</t>
  </si>
  <si>
    <t xml:space="preserve">W12</t>
  </si>
  <si>
    <t xml:space="preserve">The Bulkhead Strategy</t>
  </si>
  <si>
    <t xml:space="preserve">Fleet Bulkhead Tracker · Sector Coverage Check</t>
  </si>
  <si>
    <t xml:space="preserve">W13</t>
  </si>
  <si>
    <t xml:space="preserve">DRIP: The Automatic Refueler</t>
  </si>
  <si>
    <t xml:space="preserve">Activation Log · Days of Freedom Projection</t>
  </si>
  <si>
    <t xml:space="preserve">W14</t>
  </si>
  <si>
    <t xml:space="preserve">The Titan Vault</t>
  </si>
  <si>
    <t xml:space="preserve">Exit Velocity Gap · 10-ETF Planner with signals</t>
  </si>
  <si>
    <t xml:space="preserve">W15</t>
  </si>
  <si>
    <t xml:space="preserve">The Exit Strategy</t>
  </si>
  <si>
    <t xml:space="preserve">Three-Valve Status Map · Freedom Budget</t>
  </si>
  <si>
    <t xml:space="preserve">W16</t>
  </si>
  <si>
    <t xml:space="preserve">The Eternal Architect</t>
  </si>
  <si>
    <t xml:space="preserve">Black Box · Beneficiary Audit · Co-Pilot Curriculum</t>
  </si>
  <si>
    <t xml:space="preserve">"Every zero-cost dollar is a soldier that doesn't cost you a knee." — Corvus Verity</t>
  </si>
  <si>
    <t xml:space="preserve">FINANCIALLY TRAPPED  ·  THE ARCHITECT'S WORKING DOCUMENTS</t>
  </si>
  <si>
    <t xml:space="preserve">Worksheet 1: The Shopping Cart Protocol</t>
  </si>
  <si>
    <t xml:space="preserve">Found Money Log · TFSA Setup Checklist · First Injection Record</t>
  </si>
  <si>
    <t xml:space="preserve">  [A]  Found Money Log — Every zero-cost dollar goes directly into the machine</t>
  </si>
  <si>
    <t xml:space="preserve">DATE</t>
  </si>
  <si>
    <t xml:space="preserve">SOURCE</t>
  </si>
  <si>
    <t xml:space="preserve">AMOUNT ($)</t>
  </si>
  <si>
    <t xml:space="preserve">DEPLOYED TO</t>
  </si>
  <si>
    <t xml:space="preserve">NOTES</t>
  </si>
  <si>
    <t xml:space="preserve">TOTAL FOUND CAPITAL</t>
  </si>
  <si>
    <t xml:space="preserve">  [B]  TFSA Setup Checklist</t>
  </si>
  <si>
    <t xml:space="preserve">DONE?</t>
  </si>
  <si>
    <t xml:space="preserve">TASK</t>
  </si>
  <si>
    <t xml:space="preserve">☐ No</t>
  </si>
  <si>
    <t xml:space="preserve">Choose a self-directed brokerage (Questrade or Wealthsimple Trade)</t>
  </si>
  <si>
    <t xml:space="preserve">Open a TFSA account — Engine 1 (Rebate Portfolio)</t>
  </si>
  <si>
    <t xml:space="preserve">Confirm contribution room via CRA My Account</t>
  </si>
  <si>
    <t xml:space="preserve">Set up a recurring bi-weekly transfer (even $25 counts)</t>
  </si>
  <si>
    <t xml:space="preserve">Purchase first income-generating position (target: 12%+ yield)</t>
  </si>
  <si>
    <t xml:space="preserve">Activate DRIP on first position</t>
  </si>
  <si>
    <t xml:space="preserve">Record first dividend received</t>
  </si>
  <si>
    <t xml:space="preserve">  [C]  First Injection Record</t>
  </si>
  <si>
    <t xml:space="preserve">FIELD</t>
  </si>
  <si>
    <t xml:space="preserve">YOUR ENTRY</t>
  </si>
  <si>
    <t xml:space="preserve">Date of first injection</t>
  </si>
  <si>
    <t xml:space="preserve">Amount deployed ($)</t>
  </si>
  <si>
    <t xml:space="preserve">Platform</t>
  </si>
  <si>
    <t xml:space="preserve">Questrade</t>
  </si>
  <si>
    <t xml:space="preserve">Ticker purchased</t>
  </si>
  <si>
    <t xml:space="preserve">Units acquired</t>
  </si>
  <si>
    <t xml:space="preserve">Estimated annual dividend ($)</t>
  </si>
  <si>
    <t xml:space="preserve">First bill this will execute</t>
  </si>
  <si>
    <t xml:space="preserve">"Every zero-cost dollar is a soldier that doesn't cost you a knee."</t>
  </si>
  <si>
    <t xml:space="preserve">Worksheet 2: The Pantry-Level Math</t>
  </si>
  <si>
    <t xml:space="preserve">Engine Price = Annual Cost ÷ 0.12  ·  Build smallest Engine Price first  ·  Every executed bill is permanent freedom</t>
  </si>
  <si>
    <t xml:space="preserve">  [A]  My Pantry Spreadsheet</t>
  </si>
  <si>
    <t xml:space="preserve">BILL / EXPENSE</t>
  </si>
  <si>
    <t xml:space="preserve">MONTHLY ($)</t>
  </si>
  <si>
    <t xml:space="preserve">ANNUAL ($)</t>
  </si>
  <si>
    <t xml:space="preserve">ENGINE PRICE ($)</t>
  </si>
  <si>
    <t xml:space="preserve">STATUS</t>
  </si>
  <si>
    <t xml:space="preserve">TARGET DATE</t>
  </si>
  <si>
    <t xml:space="preserve">Netflix</t>
  </si>
  <si>
    <t xml:space="preserve">Internet</t>
  </si>
  <si>
    <t xml:space="preserve">Cell Phone</t>
  </si>
  <si>
    <t xml:space="preserve">Amazon Prime</t>
  </si>
  <si>
    <t xml:space="preserve">TOTAL</t>
  </si>
  <si>
    <t xml:space="preserve">  [B]  Days of Freedom Calculator</t>
  </si>
  <si>
    <t xml:space="preserve">METRIC</t>
  </si>
  <si>
    <t xml:space="preserve">YOUR NUMBER</t>
  </si>
  <si>
    <t xml:space="preserve">RESULT</t>
  </si>
  <si>
    <t xml:space="preserve">Annual survival cost</t>
  </si>
  <si>
    <t xml:space="preserve">Total annual dividends</t>
  </si>
  <si>
    <t xml:space="preserve">Days of Freedom owned</t>
  </si>
  <si>
    <t xml:space="preserve">Days of Freedom target</t>
  </si>
  <si>
    <t xml:space="preserve">Freedom Status %</t>
  </si>
  <si>
    <t xml:space="preserve">PROGRESS TO FREEDOM (% of 365 days)</t>
  </si>
  <si>
    <t xml:space="preserve">"A 12% yield isn't a percentage — it's a free bag of milk."</t>
  </si>
  <si>
    <t xml:space="preserve">Worksheet 3: The Triple-TFSA Blueprint</t>
  </si>
  <si>
    <t xml:space="preserve">Name the three accounts. Set the mission. Plan the build sequence.</t>
  </si>
  <si>
    <t xml:space="preserve">  [A]  Three-Engine Account Setup</t>
  </si>
  <si>
    <t xml:space="preserve">ENGINE</t>
  </si>
  <si>
    <t xml:space="preserve">ACCOUNT NICKNAME</t>
  </si>
  <si>
    <t xml:space="preserve">PLATFORM</t>
  </si>
  <si>
    <t xml:space="preserve">ACCOUNT TYPE</t>
  </si>
  <si>
    <t xml:space="preserve">  [B]  Build Timeline</t>
  </si>
  <si>
    <t xml:space="preserve">PHASE</t>
  </si>
  <si>
    <t xml:space="preserve">MILESTONE</t>
  </si>
  <si>
    <t xml:space="preserve">CAPITAL REQUIRED ($)</t>
  </si>
  <si>
    <t xml:space="preserve">"One is none. Two is one. Three is a business."</t>
  </si>
  <si>
    <t xml:space="preserve">Worksheet 4: The Leech and the Cage</t>
  </si>
  <si>
    <t xml:space="preserve">Audit your holdings. Calculate the MER cost. Plan the escape.</t>
  </si>
  <si>
    <t xml:space="preserve">  [A]  MER Audit — Current Holdings</t>
  </si>
  <si>
    <t xml:space="preserve">FUND / HOLDING</t>
  </si>
  <si>
    <t xml:space="preserve">INSTITUTION</t>
  </si>
  <si>
    <t xml:space="preserve">CURRENT VALUE ($)</t>
  </si>
  <si>
    <t xml:space="preserve">MER %</t>
  </si>
  <si>
    <t xml:space="preserve">ANNUAL FEE ($)</t>
  </si>
  <si>
    <t xml:space="preserve">ACTION</t>
  </si>
  <si>
    <t xml:space="preserve">TOTAL ANNUAL FEES</t>
  </si>
  <si>
    <t xml:space="preserve">  [B]  30-Year True Cost Calculator</t>
  </si>
  <si>
    <t xml:space="preserve">Enter your balance and MER below. See exactly how much you lose to fees over 30 years versus the Architect approach.</t>
  </si>
  <si>
    <t xml:space="preserve">ASSUMPTION</t>
  </si>
  <si>
    <t xml:space="preserve">VALUE</t>
  </si>
  <si>
    <t xml:space="preserve">Starting balance ($)</t>
  </si>
  <si>
    <t xml:space="preserve">Your current MER (%)</t>
  </si>
  <si>
    <t xml:space="preserve">Gross annual return (%)</t>
  </si>
  <si>
    <t xml:space="preserve">SCENARIO</t>
  </si>
  <si>
    <t xml:space="preserve">MER</t>
  </si>
  <si>
    <t xml:space="preserve">NET RETURN</t>
  </si>
  <si>
    <t xml:space="preserve">30-YEAR VALUE ($)</t>
  </si>
  <si>
    <t xml:space="preserve">LOSS TO FEES ($)</t>
  </si>
  <si>
    <t xml:space="preserve">The Architect (0.10% ETF)</t>
  </si>
  <si>
    <t xml:space="preserve">—</t>
  </si>
  <si>
    <t xml:space="preserve">Your current MER</t>
  </si>
  <si>
    <t xml:space="preserve">The Leech (2.50% MER)</t>
  </si>
  <si>
    <t xml:space="preserve">"The Leech doesn't steal in one event. It bleeds you by the month, invisibly, forever."</t>
  </si>
  <si>
    <t xml:space="preserve">Worksheet 5: The Redundancy of the Fleet</t>
  </si>
  <si>
    <t xml:space="preserve">Map every Single Point of Failure. Build the redundancy layer.</t>
  </si>
  <si>
    <t xml:space="preserve">  [A]  SPOF Inventory</t>
  </si>
  <si>
    <t xml:space="preserve">SYSTEM / INCOME SOURCE</t>
  </si>
  <si>
    <t xml:space="preserve">BACKUP PLAN</t>
  </si>
  <si>
    <t xml:space="preserve">PRIORITY</t>
  </si>
  <si>
    <t xml:space="preserve">  [B]  Vehicle Fleet Status</t>
  </si>
  <si>
    <t xml:space="preserve">ENGINES HELD</t>
  </si>
  <si>
    <t xml:space="preserve">"Redundancy is not paranoia. It is the difference between a delay and a collapse."</t>
  </si>
  <si>
    <t xml:space="preserve">Worksheet 6: The Bill Slayer</t>
  </si>
  <si>
    <t xml:space="preserve">Price every bill as an Engine target. Build from smallest to largest. Every executed bill is a permanent Return Pipe.</t>
  </si>
  <si>
    <t xml:space="preserve">  [A]  Bill Execution List</t>
  </si>
  <si>
    <t xml:space="preserve">Crawling</t>
  </si>
  <si>
    <t xml:space="preserve">Streaming (all)</t>
  </si>
  <si>
    <t xml:space="preserve">RETURN PIPE TOTAL</t>
  </si>
  <si>
    <t xml:space="preserve">  [B]  Return Pipe Revolt — Executed Bills Summary</t>
  </si>
  <si>
    <t xml:space="preserve">Bills marked ✓ Executed</t>
  </si>
  <si>
    <t xml:space="preserve">Annual savings from executed bills ($)</t>
  </si>
  <si>
    <t xml:space="preserve">Capital deployed to execute ($)</t>
  </si>
  <si>
    <t xml:space="preserve">Bills still targeting</t>
  </si>
  <si>
    <t xml:space="preserve">"Don't pay your bills — buy the companies that send them."</t>
  </si>
  <si>
    <t xml:space="preserve">Worksheet 7: Threading the Needle</t>
  </si>
  <si>
    <t xml:space="preserve">The $50 injection that must never stop.</t>
  </si>
  <si>
    <t xml:space="preserve">  [A]  Debt Decision Matrix</t>
  </si>
  <si>
    <t xml:space="preserve">DEBT / BILL</t>
  </si>
  <si>
    <t xml:space="preserve">BALANCE ($)</t>
  </si>
  <si>
    <t xml:space="preserve">RATE (%)</t>
  </si>
  <si>
    <t xml:space="preserve">MIN PAYMENT ($)</t>
  </si>
  <si>
    <t xml:space="preserve">DECISION</t>
  </si>
  <si>
    <t xml:space="preserve">  [B]  Injection Commitment</t>
  </si>
  <si>
    <t xml:space="preserve">COMMITMENT</t>
  </si>
  <si>
    <t xml:space="preserve">YOUR ANSWER</t>
  </si>
  <si>
    <t xml:space="preserve">"The thread cannot break. This is not metaphor — it is the architecture."</t>
  </si>
  <si>
    <t xml:space="preserve">Worksheet 8: The 40-Hour Banked Week</t>
  </si>
  <si>
    <t xml:space="preserve">Convert every overtime hour into permanent capital. Every sprint feeds the engine.</t>
  </si>
  <si>
    <t xml:space="preserve">  [A]  Labor Conversion Rate</t>
  </si>
  <si>
    <t xml:space="preserve">Regular hourly rate ($)</t>
  </si>
  <si>
    <t xml:space="preserve">Overtime multiplier</t>
  </si>
  <si>
    <t xml:space="preserve">Estimated tax rate (%)</t>
  </si>
  <si>
    <t xml:space="preserve">OT hours in this sprint</t>
  </si>
  <si>
    <t xml:space="preserve">OT hourly rate ($)</t>
  </si>
  <si>
    <t xml:space="preserve">Gross sprint income ($)</t>
  </si>
  <si>
    <t xml:space="preserve">After-tax (est.) ($)</t>
  </si>
  <si>
    <t xml:space="preserve">Engine Capital deployed ($)</t>
  </si>
  <si>
    <t xml:space="preserve">  [B]  Sprint Target Plan</t>
  </si>
  <si>
    <t xml:space="preserve">SPRINT GOAL</t>
  </si>
  <si>
    <t xml:space="preserve">TARGET ($)</t>
  </si>
  <si>
    <t xml:space="preserve">CURRENT ($)</t>
  </si>
  <si>
    <t xml:space="preserve">GAP ($)</t>
  </si>
  <si>
    <t xml:space="preserve">OT HRS NEEDED</t>
  </si>
  <si>
    <t xml:space="preserve">"Every overtime hour belongs to the Architect. The machine gets paid first."</t>
  </si>
  <si>
    <t xml:space="preserve">Worksheet 9: The Household Perimeter</t>
  </si>
  <si>
    <t xml:space="preserve">TFSA capacity · Project Liberty · Semi-Fortress progress.</t>
  </si>
  <si>
    <t xml:space="preserve">  [A]  TFSA Capacity Assessment</t>
  </si>
  <si>
    <t xml:space="preserve">YOUR NUMBER ($)</t>
  </si>
  <si>
    <t xml:space="preserve">  [B]  Project Liberty Tracker</t>
  </si>
  <si>
    <t xml:space="preserve">PERSON</t>
  </si>
  <si>
    <t xml:space="preserve">TARGET BILL</t>
  </si>
  <si>
    <t xml:space="preserve">ANNUAL COST ($)</t>
  </si>
  <si>
    <t xml:space="preserve">PROGRESS</t>
  </si>
  <si>
    <t xml:space="preserve">"Independence is a solo mission. Freedom is a group project."</t>
  </si>
  <si>
    <t xml:space="preserve">Worksheet 10: The Smooth Ride</t>
  </si>
  <si>
    <t xml:space="preserve">January 1st Calibration · Sinking Fund Inventory.</t>
  </si>
  <si>
    <t xml:space="preserve">  [A]  January 1st Calibration</t>
  </si>
  <si>
    <t xml:space="preserve">CHECK</t>
  </si>
  <si>
    <t xml:space="preserve">  [B]  Sinking Fund Inventory</t>
  </si>
  <si>
    <t xml:space="preserve">FUND NAME</t>
  </si>
  <si>
    <t xml:space="preserve">MONTHLY DEPOSIT ($)</t>
  </si>
  <si>
    <t xml:space="preserve">% COMPLETE</t>
  </si>
  <si>
    <t xml:space="preserve">"The Smooth Ride is not luck. It is the architecture operating correctly."</t>
  </si>
  <si>
    <t xml:space="preserve">Worksheet 11: The Chaos Discount</t>
  </si>
  <si>
    <t xml:space="preserve">Pre-calculate entry prices now. Execute when screens are red.</t>
  </si>
  <si>
    <t xml:space="preserve">  [A]  Pre-Calculated Discount Multipliers</t>
  </si>
  <si>
    <t xml:space="preserve">POSITION</t>
  </si>
  <si>
    <t xml:space="preserve">CURRENT PRICE ($)</t>
  </si>
  <si>
    <t xml:space="preserve">-10%</t>
  </si>
  <si>
    <t xml:space="preserve">-20%</t>
  </si>
  <si>
    <t xml:space="preserve">-30%</t>
  </si>
  <si>
    <t xml:space="preserve">ACTION AT -20%+</t>
  </si>
  <si>
    <t xml:space="preserve">  [B]  DRIP Audit</t>
  </si>
  <si>
    <t xml:space="preserve">DRIP ACTIVE?</t>
  </si>
  <si>
    <t xml:space="preserve">MONTHLY REINVESTMENT ($)</t>
  </si>
  <si>
    <t xml:space="preserve">"The best time to buy a lifeboat is when everyone else is jumping off the ship."</t>
  </si>
  <si>
    <t xml:space="preserve">Worksheet 12: The Bulkhead Strategy</t>
  </si>
  <si>
    <t xml:space="preserve">No single sector owns more than 10-15% of the fleet.</t>
  </si>
  <si>
    <t xml:space="preserve">  [A]  Fleet Bulkhead Tracker</t>
  </si>
  <si>
    <t xml:space="preserve">SECTOR</t>
  </si>
  <si>
    <t xml:space="preserve">TARGET % (MAX 15)</t>
  </si>
  <si>
    <t xml:space="preserve">CURRENT %</t>
  </si>
  <si>
    <t xml:space="preserve">NEXT INJECTION?</t>
  </si>
  <si>
    <t xml:space="preserve">"A crash in one sector is contained. A crash in all sectors destroys a fleet built without bulkheads."</t>
  </si>
  <si>
    <t xml:space="preserve">Worksheet 13: DRIP: The Automatic Refueler</t>
  </si>
  <si>
    <t xml:space="preserve">Don't eat your seed corn. Plant it until you own the whole field.</t>
  </si>
  <si>
    <t xml:space="preserve">  [A]  DRIP Activation Log</t>
  </si>
  <si>
    <t xml:space="preserve">DRIP STATUS</t>
  </si>
  <si>
    <t xml:space="preserve">FRACTIONAL?</t>
  </si>
  <si>
    <t xml:space="preserve">  [B]  Valve Readiness</t>
  </si>
  <si>
    <t xml:space="preserve">VALVE</t>
  </si>
  <si>
    <t xml:space="preserve">DESCRIPTION</t>
  </si>
  <si>
    <t xml:space="preserve">"Don't eat your seed corn. Plant it until you own the whole field."</t>
  </si>
  <si>
    <t xml:space="preserve">Worksheet 14: The Titan Vault: The 10-ETF Strategy</t>
  </si>
  <si>
    <t xml:space="preserve">Growth builds the walls. Gold guards the gate. Calculate your Exit Velocity Gap.</t>
  </si>
  <si>
    <t xml:space="preserve">  [A]  Exit Velocity Gap Calculator</t>
  </si>
  <si>
    <t xml:space="preserve">Monthly survival baseline ($)</t>
  </si>
  <si>
    <t xml:space="preserve">Target dividend yield (%)</t>
  </si>
  <si>
    <t xml:space="preserve">Current annual dividends (all engines) ($)</t>
  </si>
  <si>
    <t xml:space="preserve">CALCULATION</t>
  </si>
  <si>
    <t xml:space="preserve">Annual baseline needed ($)</t>
  </si>
  <si>
    <t xml:space="preserve">Capital needed for Exit Velocity ($)</t>
  </si>
  <si>
    <t xml:space="preserve">Current portfolio value (est.) ($)</t>
  </si>
  <si>
    <t xml:space="preserve">EXIT VELOCITY GAP ($)</t>
  </si>
  <si>
    <t xml:space="preserve">Progress to Exit Velocity (%)</t>
  </si>
  <si>
    <t xml:space="preserve">PROGRESS TO EXIT VELOCITY</t>
  </si>
  <si>
    <t xml:space="preserve">  [B]  10-ETF Position Planner</t>
  </si>
  <si>
    <t xml:space="preserve">ETF TICKER</t>
  </si>
  <si>
    <t xml:space="preserve">PURPOSE</t>
  </si>
  <si>
    <t xml:space="preserve">TARGET %</t>
  </si>
  <si>
    <t xml:space="preserve">SIGNAL</t>
  </si>
  <si>
    <t xml:space="preserve">VFV</t>
  </si>
  <si>
    <t xml:space="preserve">S&amp;P 500 Core</t>
  </si>
  <si>
    <t xml:space="preserve">XEF</t>
  </si>
  <si>
    <t xml:space="preserve">International Developed</t>
  </si>
  <si>
    <t xml:space="preserve">XEC</t>
  </si>
  <si>
    <t xml:space="preserve">Emerging Markets</t>
  </si>
  <si>
    <t xml:space="preserve">XIC</t>
  </si>
  <si>
    <t xml:space="preserve">Canadian Equity</t>
  </si>
  <si>
    <t xml:space="preserve">ZRE</t>
  </si>
  <si>
    <t xml:space="preserve">Canadian REITs</t>
  </si>
  <si>
    <t xml:space="preserve">CGL.C</t>
  </si>
  <si>
    <t xml:space="preserve">Gold Hedge</t>
  </si>
  <si>
    <t xml:space="preserve">XIU</t>
  </si>
  <si>
    <t xml:space="preserve">TSX 60 Core</t>
  </si>
  <si>
    <t xml:space="preserve">XBAL</t>
  </si>
  <si>
    <t xml:space="preserve">Balanced Core</t>
  </si>
  <si>
    <t xml:space="preserve">ZDV</t>
  </si>
  <si>
    <t xml:space="preserve">Canadian Dividend</t>
  </si>
  <si>
    <t xml:space="preserve">QQC</t>
  </si>
  <si>
    <t xml:space="preserve">NASDAQ / Tech Growth</t>
  </si>
  <si>
    <t xml:space="preserve">"Growth builds the walls. Gold guards the gate."</t>
  </si>
  <si>
    <t xml:space="preserve">Worksheet 15: The Exit Strategy: The Three-Valve Protocol</t>
  </si>
  <si>
    <t xml:space="preserve">Build the lifeboat. Then the deck. Then the sails.</t>
  </si>
  <si>
    <t xml:space="preserve">  [A]  Three-Valve Status Map</t>
  </si>
  <si>
    <t xml:space="preserve">ANNUAL DIVS ($)</t>
  </si>
  <si>
    <t xml:space="preserve">THRESHOLD ($)</t>
  </si>
  <si>
    <t xml:space="preserve">  [B]  Freedom Budget — Monthly</t>
  </si>
  <si>
    <t xml:space="preserve">CATEGORY</t>
  </si>
  <si>
    <t xml:space="preserve">COVERED BY ENGINE?</t>
  </si>
  <si>
    <t xml:space="preserve">"Build the lifeboat. Then the deck. Then the sails."</t>
  </si>
  <si>
    <t xml:space="preserve">Worksheet 16: The Eternal Architect: Succession &amp; The Hand-Off</t>
  </si>
  <si>
    <t xml:space="preserve">The architecture outlives you. Build the Black Box. Name the inheritors.</t>
  </si>
  <si>
    <t xml:space="preserve">  [A]  Black Box Creation Checklist</t>
  </si>
  <si>
    <t xml:space="preserve">DOCUMENT</t>
  </si>
  <si>
    <t xml:space="preserve">LOCATION</t>
  </si>
  <si>
    <t xml:space="preserve">LAST UPDATED</t>
  </si>
  <si>
    <t xml:space="preserve">  [B]  Beneficiary Audit</t>
  </si>
  <si>
    <t xml:space="preserve">ASSET / ACCOUNT</t>
  </si>
  <si>
    <t xml:space="preserve">BENEFICIARY NAMED?</t>
  </si>
  <si>
    <t xml:space="preserve">WHO?</t>
  </si>
  <si>
    <t xml:space="preserve">DATE VERIFIED</t>
  </si>
  <si>
    <t xml:space="preserve">  [C]  Co-Pilot Curriculum</t>
  </si>
  <si>
    <t xml:space="preserve">TRAINING EVENT</t>
  </si>
  <si>
    <t xml:space="preserve">WHO RECEIVES IT</t>
  </si>
  <si>
    <t xml:space="preserve">DATE COMPLETED</t>
  </si>
  <si>
    <t xml:space="preserve">"Wealth is what you earn. A Legacy is what you build."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</si>
</sst>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\$#,##0.00;&quot;($&quot;#,##0.00\);\-"/>
    <numFmt numFmtId="167" formatCode="\$#,##0.00"/>
    <numFmt numFmtId="168" formatCode="0.000"/>
    <numFmt numFmtId="169" formatCode="\$#,##0.00&quot; /day&quot;"/>
    <numFmt numFmtId="170" formatCode="0.0&quot; days&quot;"/>
    <numFmt numFmtId="171" formatCode="0"/>
    <numFmt numFmtId="172" formatCode="0&quot; days (Exit Velocity)&quot;"/>
    <numFmt numFmtId="173" formatCode="0.0\%"/>
    <numFmt numFmtId="174" formatCode="\$#,##0;&quot;($&quot;#,##0\);\-"/>
    <numFmt numFmtId="175" formatCode="0.00\%"/>
    <numFmt numFmtId="176" formatCode="\$#,##0"/>
    <numFmt numFmtId="177" formatCode="@"/>
    <numFmt numFmtId="178" formatCode="0.0\x"/>
    <numFmt numFmtId="179" formatCode="0\%"/>
    <numFmt numFmtId="180" formatCode="0&quot; hrs&quot;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84C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8"/>
      <color rgb="FFC9A84C"/>
      <name val="Arial"/>
      <family val="0"/>
      <charset val="1"/>
    </font>
    <font>
      <b val="true"/>
      <sz val="15"/>
      <color rgb="FF1A1A2E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1155CC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b val="true"/>
      <sz val="10"/>
      <color rgb="FF1155C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C9A84C"/>
        <bgColor rgb="FFFF9900"/>
      </patternFill>
    </fill>
    <fill>
      <patternFill patternType="solid">
        <fgColor rgb="FFF4F4F8"/>
        <bgColor rgb="FFFFFFFF"/>
      </patternFill>
    </fill>
    <fill>
      <patternFill patternType="solid">
        <fgColor rgb="FFFFFFFF"/>
        <bgColor rgb="FFF4F4F8"/>
      </patternFill>
    </fill>
    <fill>
      <patternFill patternType="solid">
        <fgColor rgb="FFF5E6C8"/>
        <bgColor rgb="FFF8D7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8B6914"/>
        <sz val="9"/>
      </font>
      <fill>
        <patternFill>
          <bgColor rgb="FFF5E6C8"/>
        </patternFill>
      </fill>
    </dxf>
    <dxf>
      <font>
        <name val="Arial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0C5460"/>
        <sz val="9"/>
      </font>
      <fill>
        <patternFill>
          <bgColor rgb="FFD1ECF1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0C5460"/>
      </font>
      <fill>
        <patternFill>
          <bgColor rgb="FFD1ECF1"/>
        </patternFill>
      </fill>
    </dxf>
    <dxf>
      <font>
        <name val="Arial"/>
        <charset val="1"/>
        <family val="0"/>
        <b val="1"/>
        <color rgb="FF8B6914"/>
      </font>
      <fill>
        <patternFill>
          <bgColor rgb="FFF5E6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4F4F8"/>
      <rgbColor rgb="FFD1ECF1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5E6C8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0C5460"/>
      <rgbColor rgb="FF339966"/>
      <rgbColor rgb="FF155724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50"/>
  </cols>
  <sheetData>
    <row r="1" customFormat="false" ht="19.5" hidden="false" customHeight="true" outlineLevel="0" collapsed="false">
      <c r="B1" s="1" t="s">
        <v>0</v>
      </c>
      <c r="C1" s="1"/>
      <c r="D1" s="1"/>
    </row>
    <row r="2" customFormat="false" ht="27.75" hidden="false" customHeight="true" outlineLevel="0" collapsed="false">
      <c r="B2" s="2" t="s">
        <v>1</v>
      </c>
      <c r="C2" s="2"/>
      <c r="D2" s="2"/>
    </row>
    <row r="3" customFormat="false" ht="13.5" hidden="false" customHeight="true" outlineLevel="0" collapsed="false">
      <c r="B3" s="3" t="s">
        <v>2</v>
      </c>
      <c r="C3" s="3"/>
      <c r="D3" s="3"/>
    </row>
    <row r="4" customFormat="false" ht="3" hidden="false" customHeight="true" outlineLevel="0" collapsed="false">
      <c r="B4" s="4"/>
      <c r="C4" s="4"/>
      <c r="D4" s="4"/>
    </row>
    <row r="5" customFormat="false" ht="15.75" hidden="false" customHeight="true" outlineLevel="0" collapsed="false">
      <c r="B5" s="5" t="s">
        <v>3</v>
      </c>
      <c r="C5" s="6" t="s">
        <v>4</v>
      </c>
      <c r="D5" s="7" t="s">
        <v>5</v>
      </c>
    </row>
    <row r="6" customFormat="false" ht="15.75" hidden="false" customHeight="true" outlineLevel="0" collapsed="false">
      <c r="B6" s="5" t="s">
        <v>6</v>
      </c>
      <c r="C6" s="8" t="s">
        <v>7</v>
      </c>
      <c r="D6" s="9" t="s">
        <v>8</v>
      </c>
    </row>
    <row r="7" customFormat="false" ht="15.75" hidden="false" customHeight="true" outlineLevel="0" collapsed="false">
      <c r="B7" s="5" t="s">
        <v>9</v>
      </c>
      <c r="C7" s="6" t="s">
        <v>10</v>
      </c>
      <c r="D7" s="7" t="s">
        <v>11</v>
      </c>
    </row>
    <row r="8" customFormat="false" ht="15.75" hidden="false" customHeight="true" outlineLevel="0" collapsed="false">
      <c r="B8" s="5" t="s">
        <v>12</v>
      </c>
      <c r="C8" s="8" t="s">
        <v>13</v>
      </c>
      <c r="D8" s="9" t="s">
        <v>14</v>
      </c>
    </row>
    <row r="9" customFormat="false" ht="15.75" hidden="false" customHeight="true" outlineLevel="0" collapsed="false">
      <c r="B9" s="5" t="s">
        <v>15</v>
      </c>
      <c r="C9" s="6" t="s">
        <v>16</v>
      </c>
      <c r="D9" s="7" t="s">
        <v>17</v>
      </c>
    </row>
    <row r="10" customFormat="false" ht="15.75" hidden="false" customHeight="true" outlineLevel="0" collapsed="false">
      <c r="B10" s="5" t="s">
        <v>18</v>
      </c>
      <c r="C10" s="8" t="s">
        <v>19</v>
      </c>
      <c r="D10" s="9" t="s">
        <v>20</v>
      </c>
    </row>
    <row r="11" customFormat="false" ht="15.75" hidden="false" customHeight="true" outlineLevel="0" collapsed="false">
      <c r="B11" s="5" t="s">
        <v>21</v>
      </c>
      <c r="C11" s="6" t="s">
        <v>22</v>
      </c>
      <c r="D11" s="7" t="s">
        <v>23</v>
      </c>
    </row>
    <row r="12" customFormat="false" ht="15.75" hidden="false" customHeight="true" outlineLevel="0" collapsed="false">
      <c r="B12" s="5" t="s">
        <v>24</v>
      </c>
      <c r="C12" s="8" t="s">
        <v>25</v>
      </c>
      <c r="D12" s="9" t="s">
        <v>26</v>
      </c>
    </row>
    <row r="13" customFormat="false" ht="15.75" hidden="false" customHeight="true" outlineLevel="0" collapsed="false">
      <c r="B13" s="5" t="s">
        <v>27</v>
      </c>
      <c r="C13" s="6" t="s">
        <v>28</v>
      </c>
      <c r="D13" s="7" t="s">
        <v>29</v>
      </c>
    </row>
    <row r="14" customFormat="false" ht="15.75" hidden="false" customHeight="true" outlineLevel="0" collapsed="false">
      <c r="B14" s="5" t="s">
        <v>30</v>
      </c>
      <c r="C14" s="8" t="s">
        <v>31</v>
      </c>
      <c r="D14" s="9" t="s">
        <v>32</v>
      </c>
    </row>
    <row r="15" customFormat="false" ht="15.75" hidden="false" customHeight="true" outlineLevel="0" collapsed="false">
      <c r="B15" s="5" t="s">
        <v>33</v>
      </c>
      <c r="C15" s="6" t="s">
        <v>34</v>
      </c>
      <c r="D15" s="7" t="s">
        <v>35</v>
      </c>
    </row>
    <row r="16" customFormat="false" ht="15.75" hidden="false" customHeight="true" outlineLevel="0" collapsed="false">
      <c r="B16" s="5" t="s">
        <v>36</v>
      </c>
      <c r="C16" s="8" t="s">
        <v>37</v>
      </c>
      <c r="D16" s="9" t="s">
        <v>38</v>
      </c>
    </row>
    <row r="17" customFormat="false" ht="15.75" hidden="false" customHeight="true" outlineLevel="0" collapsed="false">
      <c r="B17" s="5" t="s">
        <v>39</v>
      </c>
      <c r="C17" s="6" t="s">
        <v>40</v>
      </c>
      <c r="D17" s="7" t="s">
        <v>41</v>
      </c>
    </row>
    <row r="18" customFormat="false" ht="15.75" hidden="false" customHeight="true" outlineLevel="0" collapsed="false">
      <c r="B18" s="5" t="s">
        <v>42</v>
      </c>
      <c r="C18" s="8" t="s">
        <v>43</v>
      </c>
      <c r="D18" s="9" t="s">
        <v>44</v>
      </c>
    </row>
    <row r="19" customFormat="false" ht="15.75" hidden="false" customHeight="true" outlineLevel="0" collapsed="false">
      <c r="B19" s="5" t="s">
        <v>45</v>
      </c>
      <c r="C19" s="6" t="s">
        <v>46</v>
      </c>
      <c r="D19" s="7" t="s">
        <v>47</v>
      </c>
    </row>
    <row r="20" customFormat="false" ht="15.75" hidden="false" customHeight="true" outlineLevel="0" collapsed="false">
      <c r="B20" s="5" t="s">
        <v>48</v>
      </c>
      <c r="C20" s="8" t="s">
        <v>49</v>
      </c>
      <c r="D20" s="9" t="s">
        <v>50</v>
      </c>
    </row>
    <row r="22" customFormat="false" ht="24" hidden="false" customHeight="true" outlineLevel="0" collapsed="false">
      <c r="B22" s="10" t="s">
        <v>51</v>
      </c>
      <c r="C22" s="10"/>
      <c r="D22" s="10"/>
    </row>
  </sheetData>
  <mergeCells count="4">
    <mergeCell ref="B1:D1"/>
    <mergeCell ref="B2:D2"/>
    <mergeCell ref="B3:D3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53</v>
      </c>
      <c r="B2" s="12"/>
      <c r="C2" s="12"/>
      <c r="D2" s="12"/>
      <c r="E2" s="12"/>
    </row>
    <row r="3" customFormat="false" ht="15.75" hidden="false" customHeight="true" outlineLevel="0" collapsed="false">
      <c r="A3" s="3" t="s">
        <v>54</v>
      </c>
      <c r="B3" s="3"/>
      <c r="C3" s="3"/>
      <c r="D3" s="3"/>
      <c r="E3" s="3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13" t="s">
        <v>55</v>
      </c>
      <c r="B5" s="13"/>
      <c r="C5" s="13"/>
      <c r="D5" s="13"/>
      <c r="E5" s="13"/>
    </row>
    <row r="6" customFormat="false" ht="21.75" hidden="false" customHeight="true" outlineLevel="0" collapsed="false">
      <c r="A6" s="14" t="s">
        <v>56</v>
      </c>
      <c r="B6" s="14" t="s">
        <v>57</v>
      </c>
      <c r="C6" s="14" t="s">
        <v>58</v>
      </c>
      <c r="D6" s="14" t="s">
        <v>59</v>
      </c>
      <c r="E6" s="14" t="s">
        <v>60</v>
      </c>
    </row>
    <row r="7" customFormat="false" ht="15" hidden="false" customHeight="false" outlineLevel="0" collapsed="false">
      <c r="A7" s="15"/>
      <c r="B7" s="16"/>
      <c r="C7" s="17"/>
      <c r="D7" s="16"/>
      <c r="E7" s="16"/>
    </row>
    <row r="8" customFormat="false" ht="15" hidden="false" customHeight="false" outlineLevel="0" collapsed="false">
      <c r="A8" s="18"/>
      <c r="B8" s="19"/>
      <c r="C8" s="20"/>
      <c r="D8" s="19"/>
      <c r="E8" s="19"/>
    </row>
    <row r="9" customFormat="false" ht="15" hidden="false" customHeight="false" outlineLevel="0" collapsed="false">
      <c r="A9" s="15"/>
      <c r="B9" s="16"/>
      <c r="C9" s="17"/>
      <c r="D9" s="16"/>
      <c r="E9" s="16"/>
    </row>
    <row r="10" customFormat="false" ht="15" hidden="false" customHeight="false" outlineLevel="0" collapsed="false">
      <c r="A10" s="18"/>
      <c r="B10" s="19"/>
      <c r="C10" s="20"/>
      <c r="D10" s="19"/>
      <c r="E10" s="19"/>
    </row>
    <row r="11" customFormat="false" ht="15" hidden="false" customHeight="false" outlineLevel="0" collapsed="false">
      <c r="A11" s="15"/>
      <c r="B11" s="16"/>
      <c r="C11" s="17"/>
      <c r="D11" s="16"/>
      <c r="E11" s="16"/>
    </row>
    <row r="12" customFormat="false" ht="15" hidden="false" customHeight="false" outlineLevel="0" collapsed="false">
      <c r="A12" s="18"/>
      <c r="B12" s="19"/>
      <c r="C12" s="20"/>
      <c r="D12" s="19"/>
      <c r="E12" s="19"/>
    </row>
    <row r="13" customFormat="false" ht="15" hidden="false" customHeight="false" outlineLevel="0" collapsed="false">
      <c r="A13" s="15"/>
      <c r="B13" s="16"/>
      <c r="C13" s="17"/>
      <c r="D13" s="16"/>
      <c r="E13" s="16"/>
    </row>
    <row r="14" customFormat="false" ht="15" hidden="false" customHeight="false" outlineLevel="0" collapsed="false">
      <c r="A14" s="18"/>
      <c r="B14" s="19"/>
      <c r="C14" s="20"/>
      <c r="D14" s="19"/>
      <c r="E14" s="19"/>
    </row>
    <row r="15" customFormat="false" ht="15" hidden="false" customHeight="false" outlineLevel="0" collapsed="false">
      <c r="A15" s="15"/>
      <c r="B15" s="16"/>
      <c r="C15" s="17"/>
      <c r="D15" s="16"/>
      <c r="E15" s="16"/>
    </row>
    <row r="16" customFormat="false" ht="15" hidden="false" customHeight="false" outlineLevel="0" collapsed="false">
      <c r="A16" s="18"/>
      <c r="B16" s="19"/>
      <c r="C16" s="20"/>
      <c r="D16" s="19"/>
      <c r="E16" s="19"/>
    </row>
    <row r="17" customFormat="false" ht="15" hidden="false" customHeight="false" outlineLevel="0" collapsed="false">
      <c r="A17" s="15"/>
      <c r="B17" s="16"/>
      <c r="C17" s="17"/>
      <c r="D17" s="16"/>
      <c r="E17" s="16"/>
    </row>
    <row r="18" customFormat="false" ht="15" hidden="false" customHeight="false" outlineLevel="0" collapsed="false">
      <c r="A18" s="18"/>
      <c r="B18" s="19"/>
      <c r="C18" s="20"/>
      <c r="D18" s="19"/>
      <c r="E18" s="19"/>
    </row>
    <row r="19" customFormat="false" ht="15" hidden="false" customHeight="false" outlineLevel="0" collapsed="false">
      <c r="A19" s="15"/>
      <c r="B19" s="16"/>
      <c r="C19" s="17"/>
      <c r="D19" s="16"/>
      <c r="E19" s="16"/>
    </row>
    <row r="20" customFormat="false" ht="15" hidden="false" customHeight="true" outlineLevel="0" collapsed="false">
      <c r="A20" s="21" t="s">
        <v>61</v>
      </c>
      <c r="B20" s="21"/>
      <c r="C20" s="22" t="n">
        <f aca="false">SUM(C7:C19)</f>
        <v>0</v>
      </c>
    </row>
    <row r="22" customFormat="false" ht="19.5" hidden="false" customHeight="true" outlineLevel="0" collapsed="false">
      <c r="A22" s="13" t="s">
        <v>62</v>
      </c>
      <c r="B22" s="13"/>
      <c r="C22" s="13"/>
      <c r="D22" s="13"/>
      <c r="E22" s="13"/>
    </row>
    <row r="23" customFormat="false" ht="21.75" hidden="false" customHeight="true" outlineLevel="0" collapsed="false">
      <c r="A23" s="14" t="s">
        <v>63</v>
      </c>
      <c r="B23" s="14" t="s">
        <v>64</v>
      </c>
      <c r="C23" s="14"/>
      <c r="D23" s="14"/>
      <c r="E23" s="14"/>
    </row>
    <row r="24" customFormat="false" ht="15.75" hidden="false" customHeight="true" outlineLevel="0" collapsed="false">
      <c r="A24" s="23" t="s">
        <v>65</v>
      </c>
      <c r="B24" s="24" t="s">
        <v>66</v>
      </c>
      <c r="C24" s="24"/>
      <c r="D24" s="24"/>
      <c r="E24" s="24"/>
    </row>
    <row r="25" customFormat="false" ht="15.75" hidden="false" customHeight="true" outlineLevel="0" collapsed="false">
      <c r="A25" s="25" t="s">
        <v>65</v>
      </c>
      <c r="B25" s="26" t="s">
        <v>67</v>
      </c>
      <c r="C25" s="26"/>
      <c r="D25" s="26"/>
      <c r="E25" s="26"/>
    </row>
    <row r="26" customFormat="false" ht="15.75" hidden="false" customHeight="true" outlineLevel="0" collapsed="false">
      <c r="A26" s="23" t="s">
        <v>65</v>
      </c>
      <c r="B26" s="24" t="s">
        <v>68</v>
      </c>
      <c r="C26" s="24"/>
      <c r="D26" s="24"/>
      <c r="E26" s="24"/>
    </row>
    <row r="27" customFormat="false" ht="15.75" hidden="false" customHeight="true" outlineLevel="0" collapsed="false">
      <c r="A27" s="25" t="s">
        <v>65</v>
      </c>
      <c r="B27" s="26" t="s">
        <v>69</v>
      </c>
      <c r="C27" s="26"/>
      <c r="D27" s="26"/>
      <c r="E27" s="26"/>
    </row>
    <row r="28" customFormat="false" ht="15.75" hidden="false" customHeight="true" outlineLevel="0" collapsed="false">
      <c r="A28" s="23" t="s">
        <v>65</v>
      </c>
      <c r="B28" s="24" t="s">
        <v>70</v>
      </c>
      <c r="C28" s="24"/>
      <c r="D28" s="24"/>
      <c r="E28" s="24"/>
    </row>
    <row r="29" customFormat="false" ht="15.75" hidden="false" customHeight="true" outlineLevel="0" collapsed="false">
      <c r="A29" s="25" t="s">
        <v>65</v>
      </c>
      <c r="B29" s="26" t="s">
        <v>71</v>
      </c>
      <c r="C29" s="26"/>
      <c r="D29" s="26"/>
      <c r="E29" s="26"/>
    </row>
    <row r="30" customFormat="false" ht="15.75" hidden="false" customHeight="true" outlineLevel="0" collapsed="false">
      <c r="A30" s="23" t="s">
        <v>65</v>
      </c>
      <c r="B30" s="24" t="s">
        <v>72</v>
      </c>
      <c r="C30" s="24"/>
      <c r="D30" s="24"/>
      <c r="E30" s="24"/>
    </row>
    <row r="32" customFormat="false" ht="19.5" hidden="false" customHeight="true" outlineLevel="0" collapsed="false">
      <c r="A32" s="13" t="s">
        <v>73</v>
      </c>
      <c r="B32" s="13"/>
      <c r="C32" s="13"/>
      <c r="D32" s="13"/>
      <c r="E32" s="13"/>
    </row>
    <row r="33" customFormat="false" ht="21.75" hidden="false" customHeight="true" outlineLevel="0" collapsed="false">
      <c r="A33" s="14" t="s">
        <v>74</v>
      </c>
      <c r="B33" s="14" t="s">
        <v>75</v>
      </c>
      <c r="C33" s="14"/>
      <c r="D33" s="14"/>
      <c r="E33" s="14"/>
    </row>
    <row r="34" customFormat="false" ht="15.75" hidden="false" customHeight="true" outlineLevel="0" collapsed="false">
      <c r="A34" s="27" t="s">
        <v>76</v>
      </c>
      <c r="B34" s="28"/>
      <c r="C34" s="28"/>
      <c r="D34" s="28"/>
      <c r="E34" s="28"/>
    </row>
    <row r="35" customFormat="false" ht="15.75" hidden="false" customHeight="true" outlineLevel="0" collapsed="false">
      <c r="A35" s="29" t="s">
        <v>77</v>
      </c>
      <c r="B35" s="30"/>
      <c r="C35" s="30"/>
      <c r="D35" s="30"/>
      <c r="E35" s="30"/>
    </row>
    <row r="36" customFormat="false" ht="15.75" hidden="false" customHeight="true" outlineLevel="0" collapsed="false">
      <c r="A36" s="27" t="s">
        <v>78</v>
      </c>
      <c r="B36" s="31" t="s">
        <v>79</v>
      </c>
      <c r="C36" s="31"/>
      <c r="D36" s="31"/>
      <c r="E36" s="31"/>
    </row>
    <row r="37" customFormat="false" ht="15.75" hidden="false" customHeight="true" outlineLevel="0" collapsed="false">
      <c r="A37" s="29" t="s">
        <v>80</v>
      </c>
      <c r="B37" s="32"/>
      <c r="C37" s="32"/>
      <c r="D37" s="32"/>
      <c r="E37" s="32"/>
    </row>
    <row r="38" customFormat="false" ht="15.75" hidden="false" customHeight="true" outlineLevel="0" collapsed="false">
      <c r="A38" s="27" t="s">
        <v>81</v>
      </c>
      <c r="B38" s="33"/>
      <c r="C38" s="33"/>
      <c r="D38" s="33"/>
      <c r="E38" s="33"/>
    </row>
    <row r="39" customFormat="false" ht="15.75" hidden="false" customHeight="true" outlineLevel="0" collapsed="false">
      <c r="A39" s="29" t="s">
        <v>82</v>
      </c>
      <c r="B39" s="30"/>
      <c r="C39" s="30"/>
      <c r="D39" s="30"/>
      <c r="E39" s="30"/>
    </row>
    <row r="40" customFormat="false" ht="15.75" hidden="false" customHeight="true" outlineLevel="0" collapsed="false">
      <c r="A40" s="27" t="s">
        <v>83</v>
      </c>
      <c r="B40" s="31"/>
      <c r="C40" s="31"/>
      <c r="D40" s="31"/>
      <c r="E40" s="31"/>
    </row>
    <row r="42" customFormat="false" ht="27.75" hidden="false" customHeight="true" outlineLevel="0" collapsed="false">
      <c r="A42" s="10" t="s">
        <v>84</v>
      </c>
      <c r="B42" s="10"/>
      <c r="C42" s="10"/>
      <c r="D42" s="10"/>
      <c r="E42" s="10"/>
    </row>
  </sheetData>
  <mergeCells count="24">
    <mergeCell ref="A1:E1"/>
    <mergeCell ref="A2:E2"/>
    <mergeCell ref="A3:E3"/>
    <mergeCell ref="A5:E5"/>
    <mergeCell ref="A20:B20"/>
    <mergeCell ref="A22:E22"/>
    <mergeCell ref="B23:E23"/>
    <mergeCell ref="B24:E24"/>
    <mergeCell ref="B25:E25"/>
    <mergeCell ref="B26:E26"/>
    <mergeCell ref="B27:E27"/>
    <mergeCell ref="B28:E28"/>
    <mergeCell ref="B29:E29"/>
    <mergeCell ref="B30:E30"/>
    <mergeCell ref="A32:E32"/>
    <mergeCell ref="B33:E33"/>
    <mergeCell ref="B34:E34"/>
    <mergeCell ref="B35:E35"/>
    <mergeCell ref="B36:E36"/>
    <mergeCell ref="B37:E37"/>
    <mergeCell ref="B38:E38"/>
    <mergeCell ref="B39:E39"/>
    <mergeCell ref="B40:E40"/>
    <mergeCell ref="A42:E42"/>
  </mergeCells>
  <dataValidations count="8">
    <dataValidation allowBlank="true" error="Select from list" errorStyle="stop" errorTitle="Invalid" operator="between" showDropDown="false" showErrorMessage="false" showInputMessage="false" sqref="A24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25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26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27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28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29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A30" type="list">
      <formula1>"☐ No,☑ Done"</formula1>
      <formula2>0</formula2>
    </dataValidation>
    <dataValidation allowBlank="true" error="Select from list" errorStyle="stop" errorTitle="Invalid" operator="between" showDropDown="false" showErrorMessage="false" showInputMessage="false" sqref="B36" type="list">
      <formula1>"Questrade,Wealthsimple,Other"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85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86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87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88</v>
      </c>
      <c r="B6" s="14" t="s">
        <v>89</v>
      </c>
      <c r="C6" s="14" t="s">
        <v>90</v>
      </c>
      <c r="D6" s="14" t="s">
        <v>91</v>
      </c>
      <c r="E6" s="14" t="s">
        <v>92</v>
      </c>
      <c r="F6" s="14" t="s">
        <v>93</v>
      </c>
    </row>
    <row r="7" customFormat="false" ht="15" hidden="false" customHeight="false" outlineLevel="0" collapsed="false">
      <c r="A7" s="34" t="s">
        <v>94</v>
      </c>
      <c r="B7" s="17" t="n">
        <v>18</v>
      </c>
      <c r="C7" s="35" t="n">
        <f aca="false">IF(B7="","",B7*12)</f>
        <v>216</v>
      </c>
      <c r="D7" s="35" t="n">
        <f aca="false">IF(C7="","",C7/0.12)</f>
        <v>1800</v>
      </c>
      <c r="E7" s="36" t="str">
        <f aca="false">IF(D7="","",IF(D7&lt;1000,"Crawling",IF(D7&lt;10000,"Walking","Running")))</f>
        <v>Walking</v>
      </c>
      <c r="F7" s="37"/>
    </row>
    <row r="8" customFormat="false" ht="15" hidden="false" customHeight="false" outlineLevel="0" collapsed="false">
      <c r="A8" s="38" t="s">
        <v>95</v>
      </c>
      <c r="B8" s="20" t="n">
        <v>80</v>
      </c>
      <c r="C8" s="39" t="n">
        <f aca="false">IF(B8="","",B8*12)</f>
        <v>960</v>
      </c>
      <c r="D8" s="39" t="n">
        <f aca="false">IF(C8="","",C8/0.12)</f>
        <v>8000</v>
      </c>
      <c r="E8" s="40" t="str">
        <f aca="false">IF(D8="","",IF(D8&lt;1000,"Crawling",IF(D8&lt;10000,"Walking","Running")))</f>
        <v>Walking</v>
      </c>
      <c r="F8" s="41"/>
    </row>
    <row r="9" customFormat="false" ht="15" hidden="false" customHeight="false" outlineLevel="0" collapsed="false">
      <c r="A9" s="34" t="s">
        <v>96</v>
      </c>
      <c r="B9" s="17" t="n">
        <v>120</v>
      </c>
      <c r="C9" s="35" t="n">
        <f aca="false">IF(B9="","",B9*12)</f>
        <v>1440</v>
      </c>
      <c r="D9" s="35" t="n">
        <f aca="false">IF(C9="","",C9/0.12)</f>
        <v>12000</v>
      </c>
      <c r="E9" s="36" t="str">
        <f aca="false">IF(D9="","",IF(D9&lt;1000,"Crawling",IF(D9&lt;10000,"Walking","Running")))</f>
        <v>Running</v>
      </c>
      <c r="F9" s="37"/>
    </row>
    <row r="10" customFormat="false" ht="15" hidden="false" customHeight="false" outlineLevel="0" collapsed="false">
      <c r="A10" s="38" t="s">
        <v>97</v>
      </c>
      <c r="B10" s="20" t="n">
        <v>14</v>
      </c>
      <c r="C10" s="39" t="n">
        <f aca="false">IF(B10="","",B10*12)</f>
        <v>168</v>
      </c>
      <c r="D10" s="39" t="n">
        <f aca="false">IF(C10="","",C10/0.12)</f>
        <v>1400</v>
      </c>
      <c r="E10" s="40" t="str">
        <f aca="false">IF(D10="","",IF(D10&lt;1000,"Crawling",IF(D10&lt;10000,"Walking","Running")))</f>
        <v>Walking</v>
      </c>
      <c r="F10" s="41"/>
    </row>
    <row r="11" customFormat="false" ht="15" hidden="false" customHeight="false" outlineLevel="0" collapsed="false">
      <c r="A11" s="42"/>
      <c r="B11" s="43"/>
      <c r="C11" s="44" t="str">
        <f aca="false">IF(B11="","",B11*12)</f>
        <v/>
      </c>
      <c r="D11" s="44" t="str">
        <f aca="false">IF(C11="","",C11/0.12)</f>
        <v/>
      </c>
      <c r="E11" s="45" t="str">
        <f aca="false">IF(D11="","",IF(D11&lt;1000,"Crawling",IF(D11&lt;10000,"Walking","Running")))</f>
        <v/>
      </c>
      <c r="F11" s="42"/>
    </row>
    <row r="12" customFormat="false" ht="15" hidden="false" customHeight="false" outlineLevel="0" collapsed="false">
      <c r="A12" s="46"/>
      <c r="B12" s="47"/>
      <c r="C12" s="48" t="str">
        <f aca="false">IF(B12="","",B12*12)</f>
        <v/>
      </c>
      <c r="D12" s="48" t="str">
        <f aca="false">IF(C12="","",C12/0.12)</f>
        <v/>
      </c>
      <c r="E12" s="49" t="str">
        <f aca="false">IF(D12="","",IF(D12&lt;1000,"Crawling",IF(D12&lt;10000,"Walking","Running")))</f>
        <v/>
      </c>
      <c r="F12" s="46"/>
    </row>
    <row r="13" customFormat="false" ht="15" hidden="false" customHeight="false" outlineLevel="0" collapsed="false">
      <c r="A13" s="42"/>
      <c r="B13" s="43"/>
      <c r="C13" s="44" t="str">
        <f aca="false">IF(B13="","",B13*12)</f>
        <v/>
      </c>
      <c r="D13" s="44" t="str">
        <f aca="false">IF(C13="","",C13/0.12)</f>
        <v/>
      </c>
      <c r="E13" s="45" t="str">
        <f aca="false">IF(D13="","",IF(D13&lt;1000,"Crawling",IF(D13&lt;10000,"Walking","Running")))</f>
        <v/>
      </c>
      <c r="F13" s="42"/>
    </row>
    <row r="14" customFormat="false" ht="15" hidden="false" customHeight="false" outlineLevel="0" collapsed="false">
      <c r="A14" s="46"/>
      <c r="B14" s="47"/>
      <c r="C14" s="48" t="str">
        <f aca="false">IF(B14="","",B14*12)</f>
        <v/>
      </c>
      <c r="D14" s="48" t="str">
        <f aca="false">IF(C14="","",C14/0.12)</f>
        <v/>
      </c>
      <c r="E14" s="49" t="str">
        <f aca="false">IF(D14="","",IF(D14&lt;1000,"Crawling",IF(D14&lt;10000,"Walking","Running")))</f>
        <v/>
      </c>
      <c r="F14" s="46"/>
    </row>
    <row r="15" customFormat="false" ht="15" hidden="false" customHeight="false" outlineLevel="0" collapsed="false">
      <c r="A15" s="42"/>
      <c r="B15" s="43"/>
      <c r="C15" s="44" t="str">
        <f aca="false">IF(B15="","",B15*12)</f>
        <v/>
      </c>
      <c r="D15" s="44" t="str">
        <f aca="false">IF(C15="","",C15/0.12)</f>
        <v/>
      </c>
      <c r="E15" s="45" t="str">
        <f aca="false">IF(D15="","",IF(D15&lt;1000,"Crawling",IF(D15&lt;10000,"Walking","Running")))</f>
        <v/>
      </c>
      <c r="F15" s="42"/>
    </row>
    <row r="16" customFormat="false" ht="15" hidden="false" customHeight="false" outlineLevel="0" collapsed="false">
      <c r="A16" s="46"/>
      <c r="B16" s="47"/>
      <c r="C16" s="48" t="str">
        <f aca="false">IF(B16="","",B16*12)</f>
        <v/>
      </c>
      <c r="D16" s="48" t="str">
        <f aca="false">IF(C16="","",C16/0.12)</f>
        <v/>
      </c>
      <c r="E16" s="49" t="str">
        <f aca="false">IF(D16="","",IF(D16&lt;1000,"Crawling",IF(D16&lt;10000,"Walking","Running")))</f>
        <v/>
      </c>
      <c r="F16" s="46"/>
    </row>
    <row r="17" customFormat="false" ht="15" hidden="false" customHeight="false" outlineLevel="0" collapsed="false">
      <c r="A17" s="42"/>
      <c r="B17" s="43"/>
      <c r="C17" s="44" t="str">
        <f aca="false">IF(B17="","",B17*12)</f>
        <v/>
      </c>
      <c r="D17" s="44" t="str">
        <f aca="false">IF(C17="","",C17/0.12)</f>
        <v/>
      </c>
      <c r="E17" s="45" t="str">
        <f aca="false">IF(D17="","",IF(D17&lt;1000,"Crawling",IF(D17&lt;10000,"Walking","Running")))</f>
        <v/>
      </c>
      <c r="F17" s="42"/>
    </row>
    <row r="18" customFormat="false" ht="15" hidden="false" customHeight="false" outlineLevel="0" collapsed="false">
      <c r="A18" s="46"/>
      <c r="B18" s="47"/>
      <c r="C18" s="48" t="str">
        <f aca="false">IF(B18="","",B18*12)</f>
        <v/>
      </c>
      <c r="D18" s="48" t="str">
        <f aca="false">IF(C18="","",C18/0.12)</f>
        <v/>
      </c>
      <c r="E18" s="49" t="str">
        <f aca="false">IF(D18="","",IF(D18&lt;1000,"Crawling",IF(D18&lt;10000,"Walking","Running")))</f>
        <v/>
      </c>
      <c r="F18" s="46"/>
    </row>
    <row r="19" customFormat="false" ht="15" hidden="false" customHeight="false" outlineLevel="0" collapsed="false">
      <c r="A19" s="42"/>
      <c r="B19" s="43"/>
      <c r="C19" s="44" t="str">
        <f aca="false">IF(B19="","",B19*12)</f>
        <v/>
      </c>
      <c r="D19" s="44" t="str">
        <f aca="false">IF(C19="","",C19/0.12)</f>
        <v/>
      </c>
      <c r="E19" s="45" t="str">
        <f aca="false">IF(D19="","",IF(D19&lt;1000,"Crawling",IF(D19&lt;10000,"Walking","Running")))</f>
        <v/>
      </c>
      <c r="F19" s="42"/>
    </row>
    <row r="20" customFormat="false" ht="15" hidden="false" customHeight="false" outlineLevel="0" collapsed="false">
      <c r="A20" s="46"/>
      <c r="B20" s="47"/>
      <c r="C20" s="48" t="str">
        <f aca="false">IF(B20="","",B20*12)</f>
        <v/>
      </c>
      <c r="D20" s="48" t="str">
        <f aca="false">IF(C20="","",C20/0.12)</f>
        <v/>
      </c>
      <c r="E20" s="49" t="str">
        <f aca="false">IF(D20="","",IF(D20&lt;1000,"Crawling",IF(D20&lt;10000,"Walking","Running")))</f>
        <v/>
      </c>
      <c r="F20" s="46"/>
    </row>
    <row r="21" customFormat="false" ht="15" hidden="false" customHeight="false" outlineLevel="0" collapsed="false">
      <c r="A21" s="42"/>
      <c r="B21" s="43"/>
      <c r="C21" s="44" t="str">
        <f aca="false">IF(B21="","",B21*12)</f>
        <v/>
      </c>
      <c r="D21" s="44" t="str">
        <f aca="false">IF(C21="","",C21/0.12)</f>
        <v/>
      </c>
      <c r="E21" s="45" t="str">
        <f aca="false">IF(D21="","",IF(D21&lt;1000,"Crawling",IF(D21&lt;10000,"Walking","Running")))</f>
        <v/>
      </c>
      <c r="F21" s="42"/>
    </row>
    <row r="22" customFormat="false" ht="15" hidden="false" customHeight="false" outlineLevel="0" collapsed="false">
      <c r="A22" s="46"/>
      <c r="B22" s="47"/>
      <c r="C22" s="48" t="str">
        <f aca="false">IF(B22="","",B22*12)</f>
        <v/>
      </c>
      <c r="D22" s="48" t="str">
        <f aca="false">IF(C22="","",C22/0.12)</f>
        <v/>
      </c>
      <c r="E22" s="49" t="str">
        <f aca="false">IF(D22="","",IF(D22&lt;1000,"Crawling",IF(D22&lt;10000,"Walking","Running")))</f>
        <v/>
      </c>
      <c r="F22" s="46"/>
    </row>
    <row r="23" customFormat="false" ht="15" hidden="false" customHeight="true" outlineLevel="0" collapsed="false">
      <c r="A23" s="50" t="s">
        <v>98</v>
      </c>
      <c r="B23" s="50"/>
      <c r="C23" s="22" t="n">
        <f aca="false">SUMIF(B7:B22,"&lt;&gt;",B7:B22)*12</f>
        <v>2784</v>
      </c>
      <c r="D23" s="22" t="n">
        <f aca="false">C23/0.12</f>
        <v>23200</v>
      </c>
      <c r="E23" s="51"/>
      <c r="F23" s="51"/>
    </row>
    <row r="25" customFormat="false" ht="19.5" hidden="false" customHeight="true" outlineLevel="0" collapsed="false">
      <c r="A25" s="13" t="s">
        <v>99</v>
      </c>
      <c r="B25" s="13"/>
      <c r="C25" s="13"/>
      <c r="D25" s="13"/>
      <c r="E25" s="13"/>
      <c r="F25" s="13"/>
    </row>
    <row r="26" customFormat="false" ht="21.75" hidden="false" customHeight="true" outlineLevel="0" collapsed="false">
      <c r="A26" s="14" t="s">
        <v>100</v>
      </c>
      <c r="B26" s="14" t="s">
        <v>101</v>
      </c>
      <c r="C26" s="14" t="s">
        <v>102</v>
      </c>
      <c r="D26" s="14"/>
      <c r="E26" s="14"/>
      <c r="F26" s="14"/>
    </row>
    <row r="27" customFormat="false" ht="18" hidden="false" customHeight="true" outlineLevel="0" collapsed="false">
      <c r="A27" s="52" t="s">
        <v>103</v>
      </c>
      <c r="B27" s="53" t="n">
        <v>24000</v>
      </c>
      <c r="C27" s="54"/>
      <c r="D27" s="54"/>
      <c r="E27" s="54"/>
      <c r="F27" s="54"/>
    </row>
    <row r="28" customFormat="false" ht="18" hidden="false" customHeight="true" outlineLevel="0" collapsed="false">
      <c r="A28" s="55" t="s">
        <v>104</v>
      </c>
      <c r="B28" s="56" t="n">
        <v>0</v>
      </c>
      <c r="C28" s="57"/>
      <c r="D28" s="57"/>
      <c r="E28" s="57"/>
      <c r="F28" s="57"/>
    </row>
    <row r="29" customFormat="false" ht="18" hidden="false" customHeight="true" outlineLevel="0" collapsed="false">
      <c r="A29" s="58" t="s">
        <v>105</v>
      </c>
      <c r="B29" s="59"/>
      <c r="C29" s="60" t="n">
        <f aca="false">IF(B27=0,0,ROUND(B28/(B27/365),1))</f>
        <v>0</v>
      </c>
      <c r="D29" s="60"/>
      <c r="E29" s="60"/>
      <c r="F29" s="60"/>
    </row>
    <row r="30" customFormat="false" ht="18" hidden="false" customHeight="true" outlineLevel="0" collapsed="false">
      <c r="A30" s="55" t="s">
        <v>106</v>
      </c>
      <c r="B30" s="61" t="n">
        <v>365</v>
      </c>
      <c r="C30" s="62"/>
      <c r="D30" s="62"/>
      <c r="E30" s="62"/>
      <c r="F30" s="62"/>
    </row>
    <row r="31" customFormat="false" ht="18" hidden="false" customHeight="true" outlineLevel="0" collapsed="false">
      <c r="A31" s="58" t="s">
        <v>107</v>
      </c>
      <c r="B31" s="59"/>
      <c r="C31" s="63" t="n">
        <f aca="false">IF(B27=0,0,MIN(100,B28/B27*100))</f>
        <v>0</v>
      </c>
      <c r="D31" s="63"/>
      <c r="E31" s="63"/>
      <c r="F31" s="63"/>
    </row>
    <row r="33" customFormat="false" ht="21.75" hidden="false" customHeight="true" outlineLevel="0" collapsed="false">
      <c r="A33" s="64" t="s">
        <v>108</v>
      </c>
      <c r="B33" s="64"/>
      <c r="C33" s="65" t="n">
        <f aca="false">IF(B27=0,0,MIN(100,B28/B27*100))</f>
        <v>0</v>
      </c>
      <c r="D33" s="65"/>
      <c r="E33" s="65"/>
      <c r="F33" s="65"/>
    </row>
    <row r="35" customFormat="false" ht="27.75" hidden="false" customHeight="true" outlineLevel="0" collapsed="false">
      <c r="A35" s="10" t="s">
        <v>109</v>
      </c>
      <c r="B35" s="10"/>
      <c r="C35" s="10"/>
      <c r="D35" s="10"/>
      <c r="E35" s="10"/>
      <c r="F35" s="10"/>
    </row>
  </sheetData>
  <mergeCells count="15">
    <mergeCell ref="A1:F1"/>
    <mergeCell ref="A2:F2"/>
    <mergeCell ref="A3:F3"/>
    <mergeCell ref="A5:F5"/>
    <mergeCell ref="A23:B23"/>
    <mergeCell ref="A25:F25"/>
    <mergeCell ref="C26:F26"/>
    <mergeCell ref="C27:F27"/>
    <mergeCell ref="C28:F28"/>
    <mergeCell ref="C29:F29"/>
    <mergeCell ref="C30:F30"/>
    <mergeCell ref="C31:F31"/>
    <mergeCell ref="A33:B33"/>
    <mergeCell ref="C33:F33"/>
    <mergeCell ref="A35:F35"/>
  </mergeCells>
  <conditionalFormatting sqref="E7:E22">
    <cfRule type="expression" priority="2" aboveAverage="0" equalAverage="0" bottom="0" percent="0" rank="0" text="" dxfId="0">
      <formula>D7&lt;1000</formula>
    </cfRule>
    <cfRule type="expression" priority="3" aboveAverage="0" equalAverage="0" bottom="0" percent="0" rank="0" text="" dxfId="1">
      <formula>AND(D7&gt;=1000,D7&lt;10000)</formula>
    </cfRule>
    <cfRule type="expression" priority="4" aboveAverage="0" equalAverage="0" bottom="0" percent="0" rank="0" text="" dxfId="2">
      <formula>D7&gt;=10000</formula>
    </cfRule>
  </conditionalFormatting>
  <conditionalFormatting sqref="C33:F33">
    <cfRule type="dataBar" priority="5">
      <dataBar showValue="1" minLength="10" maxLength="90">
        <cfvo type="num" val="0"/>
        <cfvo type="num" val="100"/>
        <color rgb="FFC9A84C"/>
      </dataBar>
      <extLst>
        <ext xmlns:x14="http://schemas.microsoft.com/office/spreadsheetml/2009/9/main" uri="{B025F937-C7B1-47D3-B67F-A62EFF666E3E}">
          <x14:id>{2B8B23A0-61FF-48F7-9D80-22972D43F2F4}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8B23A0-61FF-48F7-9D80-22972D43F2F4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C9A84C"/>
              <x14:axisColor rgb="FF000000"/>
            </x14:dataBar>
          </x14:cfRule>
          <xm:sqref>C33:F33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110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111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112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113</v>
      </c>
      <c r="B6" s="14" t="s">
        <v>114</v>
      </c>
      <c r="C6" s="14" t="s">
        <v>115</v>
      </c>
      <c r="D6" s="14" t="s">
        <v>116</v>
      </c>
      <c r="E6" s="14" t="s">
        <v>92</v>
      </c>
      <c r="F6" s="14" t="s">
        <v>60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1" customFormat="false" ht="19.5" hidden="false" customHeight="true" outlineLevel="0" collapsed="false">
      <c r="A11" s="13" t="s">
        <v>117</v>
      </c>
      <c r="B11" s="13"/>
      <c r="C11" s="13"/>
      <c r="D11" s="13"/>
      <c r="E11" s="13"/>
      <c r="F11" s="13"/>
    </row>
    <row r="12" customFormat="false" ht="21.75" hidden="false" customHeight="true" outlineLevel="0" collapsed="false">
      <c r="A12" s="14" t="s">
        <v>118</v>
      </c>
      <c r="B12" s="14" t="s">
        <v>119</v>
      </c>
      <c r="C12" s="14" t="s">
        <v>93</v>
      </c>
      <c r="D12" s="14" t="s">
        <v>120</v>
      </c>
      <c r="E12" s="14" t="s">
        <v>60</v>
      </c>
    </row>
    <row r="13" customFormat="false" ht="15" hidden="false" customHeight="false" outlineLevel="0" collapsed="false">
      <c r="A13" s="38"/>
      <c r="B13" s="38"/>
      <c r="C13" s="38"/>
      <c r="D13" s="38"/>
      <c r="E13" s="38"/>
    </row>
    <row r="14" customFormat="false" ht="15" hidden="false" customHeight="false" outlineLevel="0" collapsed="false">
      <c r="A14" s="34"/>
      <c r="B14" s="34"/>
      <c r="C14" s="34"/>
      <c r="D14" s="34"/>
      <c r="E14" s="34"/>
    </row>
    <row r="15" customFormat="false" ht="15" hidden="false" customHeight="false" outlineLevel="0" collapsed="false">
      <c r="A15" s="38"/>
      <c r="B15" s="38"/>
      <c r="C15" s="38"/>
      <c r="D15" s="38"/>
      <c r="E15" s="38"/>
    </row>
    <row r="16" customFormat="false" ht="15" hidden="false" customHeight="false" outlineLevel="0" collapsed="false">
      <c r="A16" s="34"/>
      <c r="B16" s="34"/>
      <c r="C16" s="34"/>
      <c r="D16" s="34"/>
      <c r="E16" s="34"/>
    </row>
    <row r="19" customFormat="false" ht="27.75" hidden="false" customHeight="true" outlineLevel="0" collapsed="false">
      <c r="A19" s="10" t="s">
        <v>121</v>
      </c>
      <c r="B19" s="10"/>
      <c r="C19" s="10"/>
      <c r="D19" s="10"/>
      <c r="E19" s="10"/>
      <c r="F19" s="10"/>
    </row>
  </sheetData>
  <mergeCells count="6">
    <mergeCell ref="A1:F1"/>
    <mergeCell ref="A2:F2"/>
    <mergeCell ref="A3:F3"/>
    <mergeCell ref="A5:F5"/>
    <mergeCell ref="A11:F11"/>
    <mergeCell ref="A19:F19"/>
  </mergeCells>
  <dataValidations count="9">
    <dataValidation allowBlank="true" error="Select from list" errorStyle="stop" errorTitle="Invalid" operator="between" showDropDown="false" showErrorMessage="false" showInputMessage="false" sqref="C7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7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E7" type="list">
      <formula1>"Open,Funded,Active"</formula1>
      <formula2>0</formula2>
    </dataValidation>
    <dataValidation allowBlank="true" error="Select from list" errorStyle="stop" errorTitle="Invalid" operator="between" showDropDown="false" showErrorMessage="false" showInputMessage="false" sqref="C8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8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E8" type="list">
      <formula1>"Open,Funded,Active"</formula1>
      <formula2>0</formula2>
    </dataValidation>
    <dataValidation allowBlank="true" error="Select from list" errorStyle="stop" errorTitle="Invalid" operator="between" showDropDown="false" showErrorMessage="false" showInputMessage="false" sqref="C9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9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E9" type="list">
      <formula1>"Open,Funded,Active"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122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123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124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125</v>
      </c>
      <c r="B6" s="14" t="s">
        <v>126</v>
      </c>
      <c r="C6" s="14" t="s">
        <v>127</v>
      </c>
      <c r="D6" s="14" t="s">
        <v>128</v>
      </c>
      <c r="E6" s="14" t="s">
        <v>129</v>
      </c>
      <c r="F6" s="14" t="s">
        <v>130</v>
      </c>
    </row>
    <row r="7" customFormat="false" ht="15" hidden="false" customHeight="false" outlineLevel="0" collapsed="false">
      <c r="A7" s="16"/>
      <c r="B7" s="16"/>
      <c r="C7" s="66"/>
      <c r="D7" s="67"/>
      <c r="E7" s="35" t="str">
        <f aca="false">IF(C7="","",C7*D7/100)</f>
        <v/>
      </c>
      <c r="F7" s="34"/>
    </row>
    <row r="8" customFormat="false" ht="15" hidden="false" customHeight="false" outlineLevel="0" collapsed="false">
      <c r="A8" s="19"/>
      <c r="B8" s="19"/>
      <c r="C8" s="68"/>
      <c r="D8" s="69"/>
      <c r="E8" s="39" t="str">
        <f aca="false">IF(C8="","",C8*D8/100)</f>
        <v/>
      </c>
      <c r="F8" s="38"/>
    </row>
    <row r="9" customFormat="false" ht="15" hidden="false" customHeight="false" outlineLevel="0" collapsed="false">
      <c r="A9" s="16"/>
      <c r="B9" s="16"/>
      <c r="C9" s="66"/>
      <c r="D9" s="67"/>
      <c r="E9" s="35" t="str">
        <f aca="false">IF(C9="","",C9*D9/100)</f>
        <v/>
      </c>
      <c r="F9" s="34"/>
    </row>
    <row r="10" customFormat="false" ht="15" hidden="false" customHeight="false" outlineLevel="0" collapsed="false">
      <c r="A10" s="19"/>
      <c r="B10" s="19"/>
      <c r="C10" s="68"/>
      <c r="D10" s="69"/>
      <c r="E10" s="39" t="str">
        <f aca="false">IF(C10="","",C10*D10/100)</f>
        <v/>
      </c>
      <c r="F10" s="38"/>
    </row>
    <row r="11" customFormat="false" ht="15" hidden="false" customHeight="false" outlineLevel="0" collapsed="false">
      <c r="A11" s="16"/>
      <c r="B11" s="16"/>
      <c r="C11" s="66"/>
      <c r="D11" s="67"/>
      <c r="E11" s="35" t="str">
        <f aca="false">IF(C11="","",C11*D11/100)</f>
        <v/>
      </c>
      <c r="F11" s="34"/>
    </row>
    <row r="12" customFormat="false" ht="15" hidden="false" customHeight="false" outlineLevel="0" collapsed="false">
      <c r="A12" s="19"/>
      <c r="B12" s="19"/>
      <c r="C12" s="68"/>
      <c r="D12" s="69"/>
      <c r="E12" s="39" t="str">
        <f aca="false">IF(C12="","",C12*D12/100)</f>
        <v/>
      </c>
      <c r="F12" s="38"/>
    </row>
    <row r="13" customFormat="false" ht="15" hidden="false" customHeight="false" outlineLevel="0" collapsed="false">
      <c r="A13" s="16"/>
      <c r="B13" s="16"/>
      <c r="C13" s="66"/>
      <c r="D13" s="67"/>
      <c r="E13" s="35" t="str">
        <f aca="false">IF(C13="","",C13*D13/100)</f>
        <v/>
      </c>
      <c r="F13" s="34"/>
    </row>
    <row r="14" customFormat="false" ht="15" hidden="false" customHeight="false" outlineLevel="0" collapsed="false">
      <c r="A14" s="19"/>
      <c r="B14" s="19"/>
      <c r="C14" s="68"/>
      <c r="D14" s="69"/>
      <c r="E14" s="39" t="str">
        <f aca="false">IF(C14="","",C14*D14/100)</f>
        <v/>
      </c>
      <c r="F14" s="38"/>
    </row>
    <row r="15" customFormat="false" ht="15" hidden="false" customHeight="false" outlineLevel="0" collapsed="false">
      <c r="A15" s="16"/>
      <c r="B15" s="16"/>
      <c r="C15" s="66"/>
      <c r="D15" s="67"/>
      <c r="E15" s="35" t="str">
        <f aca="false">IF(C15="","",C15*D15/100)</f>
        <v/>
      </c>
      <c r="F15" s="34"/>
    </row>
    <row r="16" customFormat="false" ht="15" hidden="false" customHeight="false" outlineLevel="0" collapsed="false">
      <c r="A16" s="19"/>
      <c r="B16" s="19"/>
      <c r="C16" s="68"/>
      <c r="D16" s="69"/>
      <c r="E16" s="39" t="str">
        <f aca="false">IF(C16="","",C16*D16/100)</f>
        <v/>
      </c>
      <c r="F16" s="38"/>
    </row>
    <row r="17" customFormat="false" ht="15" hidden="false" customHeight="false" outlineLevel="0" collapsed="false">
      <c r="A17" s="16"/>
      <c r="B17" s="16"/>
      <c r="C17" s="66"/>
      <c r="D17" s="67"/>
      <c r="E17" s="35" t="str">
        <f aca="false">IF(C17="","",C17*D17/100)</f>
        <v/>
      </c>
      <c r="F17" s="34"/>
    </row>
    <row r="19" customFormat="false" ht="15" hidden="false" customHeight="false" outlineLevel="0" collapsed="false">
      <c r="A19" s="21" t="s">
        <v>131</v>
      </c>
      <c r="E19" s="22" t="n">
        <f aca="false">SUM(E7:E18)</f>
        <v>0</v>
      </c>
    </row>
    <row r="21" customFormat="false" ht="19.5" hidden="false" customHeight="true" outlineLevel="0" collapsed="false">
      <c r="A21" s="13" t="s">
        <v>132</v>
      </c>
      <c r="B21" s="13"/>
      <c r="C21" s="13"/>
      <c r="D21" s="13"/>
      <c r="E21" s="13"/>
      <c r="F21" s="13"/>
    </row>
    <row r="22" customFormat="false" ht="15" hidden="false" customHeight="true" outlineLevel="0" collapsed="false">
      <c r="A22" s="3" t="s">
        <v>133</v>
      </c>
      <c r="B22" s="3"/>
      <c r="C22" s="3"/>
      <c r="D22" s="3"/>
      <c r="E22" s="3"/>
      <c r="F22" s="3"/>
    </row>
    <row r="23" customFormat="false" ht="21.75" hidden="false" customHeight="true" outlineLevel="0" collapsed="false">
      <c r="A23" s="14" t="s">
        <v>134</v>
      </c>
      <c r="B23" s="14" t="s">
        <v>135</v>
      </c>
      <c r="C23" s="14"/>
      <c r="D23" s="14"/>
      <c r="E23" s="14"/>
      <c r="F23" s="14"/>
    </row>
    <row r="24" customFormat="false" ht="15" hidden="false" customHeight="false" outlineLevel="0" collapsed="false">
      <c r="A24" s="29" t="s">
        <v>136</v>
      </c>
      <c r="B24" s="70" t="n">
        <v>10000</v>
      </c>
      <c r="C24" s="70"/>
      <c r="D24" s="70"/>
      <c r="E24" s="70"/>
      <c r="F24" s="70"/>
    </row>
    <row r="25" customFormat="false" ht="15" hidden="false" customHeight="false" outlineLevel="0" collapsed="false">
      <c r="A25" s="29" t="s">
        <v>137</v>
      </c>
      <c r="B25" s="71" t="n">
        <v>2.45</v>
      </c>
      <c r="C25" s="71"/>
      <c r="D25" s="71"/>
      <c r="E25" s="71"/>
      <c r="F25" s="71"/>
    </row>
    <row r="26" customFormat="false" ht="15" hidden="false" customHeight="false" outlineLevel="0" collapsed="false">
      <c r="A26" s="29" t="s">
        <v>138</v>
      </c>
      <c r="B26" s="71" t="n">
        <v>8</v>
      </c>
      <c r="C26" s="71"/>
      <c r="D26" s="71"/>
      <c r="E26" s="71"/>
      <c r="F26" s="71"/>
    </row>
    <row r="28" customFormat="false" ht="21.75" hidden="false" customHeight="true" outlineLevel="0" collapsed="false">
      <c r="A28" s="14" t="s">
        <v>139</v>
      </c>
      <c r="B28" s="14" t="s">
        <v>140</v>
      </c>
      <c r="C28" s="14" t="s">
        <v>141</v>
      </c>
      <c r="D28" s="14" t="s">
        <v>142</v>
      </c>
      <c r="E28" s="14" t="s">
        <v>143</v>
      </c>
      <c r="F28" s="14"/>
    </row>
    <row r="29" customFormat="false" ht="15" hidden="false" customHeight="false" outlineLevel="0" collapsed="false">
      <c r="A29" s="52" t="s">
        <v>144</v>
      </c>
      <c r="B29" s="72" t="n">
        <v>0.1</v>
      </c>
      <c r="C29" s="72" t="n">
        <f aca="false">B26-0.1</f>
        <v>7.9</v>
      </c>
      <c r="D29" s="73" t="n">
        <f aca="false">B24*(1+(B26-0.1)/100)^30</f>
        <v>97868.5920362809</v>
      </c>
      <c r="E29" s="74" t="s">
        <v>145</v>
      </c>
    </row>
    <row r="30" customFormat="false" ht="15" hidden="false" customHeight="false" outlineLevel="0" collapsed="false">
      <c r="A30" s="75" t="s">
        <v>146</v>
      </c>
      <c r="B30" s="76" t="n">
        <f aca="false">B25</f>
        <v>2.45</v>
      </c>
      <c r="C30" s="77" t="n">
        <f aca="false">B26-B25</f>
        <v>5.55</v>
      </c>
      <c r="D30" s="78" t="n">
        <f aca="false">B24*(1+(B26-B25)/100)^30</f>
        <v>50553.0228143052</v>
      </c>
      <c r="E30" s="79" t="n">
        <f aca="false">D29-B24*(1+(B26-B25)/100)^30</f>
        <v>47315.5692219757</v>
      </c>
    </row>
    <row r="31" customFormat="false" ht="15" hidden="false" customHeight="false" outlineLevel="0" collapsed="false">
      <c r="A31" s="52" t="s">
        <v>147</v>
      </c>
      <c r="B31" s="72" t="n">
        <v>2.5</v>
      </c>
      <c r="C31" s="72" t="n">
        <f aca="false">B26-2.5</f>
        <v>5.5</v>
      </c>
      <c r="D31" s="73" t="n">
        <f aca="false">B24*(1+(B26-2.5)/100)^30</f>
        <v>49839.5128839506</v>
      </c>
      <c r="E31" s="80" t="n">
        <f aca="false">D29-B24*(1+(B26-2.5)/100)^30</f>
        <v>48029.0791523303</v>
      </c>
    </row>
    <row r="34" customFormat="false" ht="27.75" hidden="false" customHeight="true" outlineLevel="0" collapsed="false">
      <c r="A34" s="10" t="s">
        <v>148</v>
      </c>
      <c r="B34" s="10"/>
      <c r="C34" s="10"/>
      <c r="D34" s="10"/>
      <c r="E34" s="10"/>
      <c r="F34" s="10"/>
    </row>
  </sheetData>
  <mergeCells count="11">
    <mergeCell ref="A1:F1"/>
    <mergeCell ref="A2:F2"/>
    <mergeCell ref="A3:F3"/>
    <mergeCell ref="A5:F5"/>
    <mergeCell ref="A21:F21"/>
    <mergeCell ref="A22:F22"/>
    <mergeCell ref="B23:F23"/>
    <mergeCell ref="B24:F24"/>
    <mergeCell ref="B25:F25"/>
    <mergeCell ref="B26:F26"/>
    <mergeCell ref="A34:F34"/>
  </mergeCells>
  <conditionalFormatting sqref="F7:F18">
    <cfRule type="cellIs" priority="2" operator="equal" aboveAverage="0" equalAverage="0" bottom="0" percent="0" rank="0" text="" dxfId="3">
      <formula>"LEECH — transfer out"</formula>
    </cfRule>
    <cfRule type="cellIs" priority="3" operator="equal" aboveAverage="0" equalAverage="0" bottom="0" percent="0" rank="0" text="" dxfId="4">
      <formula>"KEEP — low MER"</formula>
    </cfRule>
  </conditionalFormatting>
  <dataValidations count="1">
    <dataValidation allowBlank="true" error="Select from list" errorStyle="stop" errorTitle="Invalid" operator="between" showDropDown="false" showErrorMessage="false" showInputMessage="false" sqref="F7:F18" type="list">
      <formula1>"KEEP — low MER,LEECH — transfer out,EVALUATE"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149</v>
      </c>
      <c r="B2" s="12"/>
      <c r="C2" s="12"/>
      <c r="D2" s="12"/>
      <c r="E2" s="12"/>
    </row>
    <row r="3" customFormat="false" ht="15.75" hidden="false" customHeight="true" outlineLevel="0" collapsed="false">
      <c r="A3" s="3" t="s">
        <v>150</v>
      </c>
      <c r="B3" s="3"/>
      <c r="C3" s="3"/>
      <c r="D3" s="3"/>
      <c r="E3" s="3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13" t="s">
        <v>151</v>
      </c>
      <c r="B5" s="13"/>
      <c r="C5" s="13"/>
      <c r="D5" s="13"/>
      <c r="E5" s="13"/>
    </row>
    <row r="6" customFormat="false" ht="21.75" hidden="false" customHeight="true" outlineLevel="0" collapsed="false">
      <c r="A6" s="14" t="s">
        <v>152</v>
      </c>
      <c r="B6" s="14" t="s">
        <v>92</v>
      </c>
      <c r="C6" s="14" t="s">
        <v>153</v>
      </c>
      <c r="D6" s="14" t="s">
        <v>154</v>
      </c>
      <c r="E6" s="14" t="s">
        <v>60</v>
      </c>
    </row>
    <row r="7" customFormat="false" ht="15" hidden="false" customHeight="false" outlineLevel="0" collapsed="false">
      <c r="A7" s="38"/>
      <c r="B7" s="38"/>
      <c r="C7" s="38"/>
      <c r="D7" s="38"/>
      <c r="E7" s="38"/>
    </row>
    <row r="8" customFormat="false" ht="15" hidden="false" customHeight="false" outlineLevel="0" collapsed="false">
      <c r="A8" s="34"/>
      <c r="B8" s="34"/>
      <c r="C8" s="34"/>
      <c r="D8" s="34"/>
      <c r="E8" s="34"/>
    </row>
    <row r="9" customFormat="false" ht="15" hidden="false" customHeight="false" outlineLevel="0" collapsed="false">
      <c r="A9" s="38"/>
      <c r="B9" s="38"/>
      <c r="C9" s="38"/>
      <c r="D9" s="38"/>
      <c r="E9" s="38"/>
    </row>
    <row r="10" customFormat="false" ht="15" hidden="false" customHeight="false" outlineLevel="0" collapsed="false">
      <c r="A10" s="34"/>
      <c r="B10" s="34"/>
      <c r="C10" s="34"/>
      <c r="D10" s="34"/>
      <c r="E10" s="34"/>
    </row>
    <row r="11" customFormat="false" ht="15" hidden="false" customHeight="false" outlineLevel="0" collapsed="false">
      <c r="A11" s="38"/>
      <c r="B11" s="38"/>
      <c r="C11" s="38"/>
      <c r="D11" s="38"/>
      <c r="E11" s="38"/>
    </row>
    <row r="12" customFormat="false" ht="15" hidden="false" customHeight="false" outlineLevel="0" collapsed="false">
      <c r="A12" s="34"/>
      <c r="B12" s="34"/>
      <c r="C12" s="34"/>
      <c r="D12" s="34"/>
      <c r="E12" s="34"/>
    </row>
    <row r="13" customFormat="false" ht="15" hidden="false" customHeight="false" outlineLevel="0" collapsed="false">
      <c r="A13" s="38"/>
      <c r="B13" s="38"/>
      <c r="C13" s="38"/>
      <c r="D13" s="38"/>
      <c r="E13" s="38"/>
    </row>
    <row r="14" customFormat="false" ht="15" hidden="false" customHeight="false" outlineLevel="0" collapsed="false">
      <c r="A14" s="34"/>
      <c r="B14" s="34"/>
      <c r="C14" s="34"/>
      <c r="D14" s="34"/>
      <c r="E14" s="34"/>
    </row>
    <row r="16" customFormat="false" ht="19.5" hidden="false" customHeight="true" outlineLevel="0" collapsed="false">
      <c r="A16" s="13" t="s">
        <v>155</v>
      </c>
      <c r="B16" s="13"/>
      <c r="C16" s="13"/>
      <c r="D16" s="13"/>
      <c r="E16" s="13"/>
    </row>
    <row r="17" customFormat="false" ht="21.75" hidden="false" customHeight="true" outlineLevel="0" collapsed="false">
      <c r="A17" s="14" t="s">
        <v>115</v>
      </c>
      <c r="B17" s="14" t="s">
        <v>116</v>
      </c>
      <c r="C17" s="14" t="s">
        <v>92</v>
      </c>
      <c r="D17" s="14" t="s">
        <v>156</v>
      </c>
      <c r="E17" s="14" t="s">
        <v>60</v>
      </c>
    </row>
    <row r="18" customFormat="false" ht="15" hidden="false" customHeight="false" outlineLevel="0" collapsed="false">
      <c r="A18" s="38"/>
      <c r="B18" s="38"/>
      <c r="C18" s="38"/>
      <c r="D18" s="38"/>
      <c r="E18" s="38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0" customFormat="false" ht="15" hidden="false" customHeight="false" outlineLevel="0" collapsed="false">
      <c r="A20" s="38"/>
      <c r="B20" s="38"/>
      <c r="C20" s="38"/>
      <c r="D20" s="38"/>
      <c r="E20" s="38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4" customFormat="false" ht="27.75" hidden="false" customHeight="true" outlineLevel="0" collapsed="false">
      <c r="A24" s="10" t="s">
        <v>157</v>
      </c>
      <c r="B24" s="10"/>
      <c r="C24" s="10"/>
      <c r="D24" s="10"/>
      <c r="E24" s="10"/>
    </row>
  </sheetData>
  <mergeCells count="6">
    <mergeCell ref="A1:E1"/>
    <mergeCell ref="A2:E2"/>
    <mergeCell ref="A3:E3"/>
    <mergeCell ref="A5:E5"/>
    <mergeCell ref="A16:E16"/>
    <mergeCell ref="A24:E24"/>
  </mergeCells>
  <dataValidations count="24">
    <dataValidation allowBlank="true" error="Select from list" errorStyle="stop" errorTitle="Invalid" operator="between" showDropDown="false" showErrorMessage="false" showInputMessage="false" sqref="B7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7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8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8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9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9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0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10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1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11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2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12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3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13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4" type="list">
      <formula1>"Single,Redundant,Triple"</formula1>
      <formula2>0</formula2>
    </dataValidation>
    <dataValidation allowBlank="true" error="Select from list" errorStyle="stop" errorTitle="Invalid" operator="between" showDropDown="false" showErrorMessage="false" showInputMessage="false" sqref="D14" type="list">
      <formula1>"Critical,High,Medium,Low"</formula1>
      <formula2>0</formula2>
    </dataValidation>
    <dataValidation allowBlank="true" error="Select from list" errorStyle="stop" errorTitle="Invalid" operator="between" showDropDown="false" showErrorMessage="false" showInputMessage="false" sqref="B18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C18" type="list">
      <formula1>"Open,Funded,Active,Inactive"</formula1>
      <formula2>0</formula2>
    </dataValidation>
    <dataValidation allowBlank="true" error="Select from list" errorStyle="stop" errorTitle="Invalid" operator="between" showDropDown="false" showErrorMessage="false" showInputMessage="false" sqref="B19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C19" type="list">
      <formula1>"Open,Funded,Active,Inactive"</formula1>
      <formula2>0</formula2>
    </dataValidation>
    <dataValidation allowBlank="true" error="Select from list" errorStyle="stop" errorTitle="Invalid" operator="between" showDropDown="false" showErrorMessage="false" showInputMessage="false" sqref="B20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C20" type="list">
      <formula1>"Open,Funded,Active,Inactive"</formula1>
      <formula2>0</formula2>
    </dataValidation>
    <dataValidation allowBlank="true" error="Select from list" errorStyle="stop" errorTitle="Invalid" operator="between" showDropDown="false" showErrorMessage="false" showInputMessage="false" sqref="B21" type="list">
      <formula1>"TFSA,RRSP,Cash"</formula1>
      <formula2>0</formula2>
    </dataValidation>
    <dataValidation allowBlank="true" error="Select from list" errorStyle="stop" errorTitle="Invalid" operator="between" showDropDown="false" showErrorMessage="false" showInputMessage="false" sqref="C21" type="list">
      <formula1>"Open,Funded,Active,Inactive"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158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159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160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88</v>
      </c>
      <c r="B6" s="14" t="s">
        <v>89</v>
      </c>
      <c r="C6" s="14" t="s">
        <v>90</v>
      </c>
      <c r="D6" s="14" t="s">
        <v>91</v>
      </c>
      <c r="E6" s="14" t="s">
        <v>92</v>
      </c>
      <c r="F6" s="14" t="s">
        <v>93</v>
      </c>
    </row>
    <row r="7" customFormat="false" ht="15" hidden="false" customHeight="false" outlineLevel="0" collapsed="false">
      <c r="A7" s="34" t="s">
        <v>94</v>
      </c>
      <c r="B7" s="17" t="n">
        <v>18</v>
      </c>
      <c r="C7" s="35" t="n">
        <f aca="false">IF(B7="","",B7*12)</f>
        <v>216</v>
      </c>
      <c r="D7" s="35" t="n">
        <f aca="false">IF(C7="","",C7/0.12)</f>
        <v>1800</v>
      </c>
      <c r="E7" s="34" t="s">
        <v>161</v>
      </c>
      <c r="F7" s="81"/>
    </row>
    <row r="8" customFormat="false" ht="15" hidden="false" customHeight="false" outlineLevel="0" collapsed="false">
      <c r="A8" s="38" t="s">
        <v>95</v>
      </c>
      <c r="B8" s="20" t="n">
        <v>80</v>
      </c>
      <c r="C8" s="39" t="n">
        <f aca="false">IF(B8="","",B8*12)</f>
        <v>960</v>
      </c>
      <c r="D8" s="39" t="n">
        <f aca="false">IF(C8="","",C8/0.12)</f>
        <v>8000</v>
      </c>
      <c r="E8" s="38" t="s">
        <v>161</v>
      </c>
      <c r="F8" s="82"/>
    </row>
    <row r="9" customFormat="false" ht="15" hidden="false" customHeight="false" outlineLevel="0" collapsed="false">
      <c r="A9" s="34" t="s">
        <v>96</v>
      </c>
      <c r="B9" s="17" t="n">
        <v>120</v>
      </c>
      <c r="C9" s="35" t="n">
        <f aca="false">IF(B9="","",B9*12)</f>
        <v>1440</v>
      </c>
      <c r="D9" s="35" t="n">
        <f aca="false">IF(C9="","",C9/0.12)</f>
        <v>12000</v>
      </c>
      <c r="E9" s="34" t="s">
        <v>161</v>
      </c>
      <c r="F9" s="81"/>
    </row>
    <row r="10" customFormat="false" ht="15" hidden="false" customHeight="false" outlineLevel="0" collapsed="false">
      <c r="A10" s="38" t="s">
        <v>97</v>
      </c>
      <c r="B10" s="20" t="n">
        <v>14</v>
      </c>
      <c r="C10" s="39" t="n">
        <f aca="false">IF(B10="","",B10*12)</f>
        <v>168</v>
      </c>
      <c r="D10" s="39" t="n">
        <f aca="false">IF(C10="","",C10/0.12)</f>
        <v>1400</v>
      </c>
      <c r="E10" s="38" t="s">
        <v>161</v>
      </c>
      <c r="F10" s="82"/>
    </row>
    <row r="11" customFormat="false" ht="15" hidden="false" customHeight="false" outlineLevel="0" collapsed="false">
      <c r="A11" s="34" t="s">
        <v>162</v>
      </c>
      <c r="B11" s="17" t="n">
        <v>35</v>
      </c>
      <c r="C11" s="35" t="n">
        <f aca="false">IF(B11="","",B11*12)</f>
        <v>420</v>
      </c>
      <c r="D11" s="35" t="n">
        <f aca="false">IF(C11="","",C11/0.12)</f>
        <v>3500</v>
      </c>
      <c r="E11" s="34" t="s">
        <v>161</v>
      </c>
      <c r="F11" s="81"/>
    </row>
    <row r="12" customFormat="false" ht="15" hidden="false" customHeight="false" outlineLevel="0" collapsed="false">
      <c r="A12" s="83"/>
      <c r="B12" s="84"/>
      <c r="C12" s="35" t="str">
        <f aca="false">IF(B12="","",B12*12)</f>
        <v/>
      </c>
      <c r="D12" s="35" t="str">
        <f aca="false">IF(C12="","",C12/0.12)</f>
        <v/>
      </c>
      <c r="E12" s="83"/>
      <c r="F12" s="83"/>
    </row>
    <row r="13" customFormat="false" ht="15" hidden="false" customHeight="false" outlineLevel="0" collapsed="false">
      <c r="A13" s="85"/>
      <c r="B13" s="86"/>
      <c r="C13" s="39" t="str">
        <f aca="false">IF(B13="","",B13*12)</f>
        <v/>
      </c>
      <c r="D13" s="39" t="str">
        <f aca="false">IF(C13="","",C13/0.12)</f>
        <v/>
      </c>
      <c r="E13" s="85"/>
      <c r="F13" s="85"/>
    </row>
    <row r="14" customFormat="false" ht="15" hidden="false" customHeight="false" outlineLevel="0" collapsed="false">
      <c r="A14" s="83"/>
      <c r="B14" s="84"/>
      <c r="C14" s="35" t="str">
        <f aca="false">IF(B14="","",B14*12)</f>
        <v/>
      </c>
      <c r="D14" s="35" t="str">
        <f aca="false">IF(C14="","",C14/0.12)</f>
        <v/>
      </c>
      <c r="E14" s="83"/>
      <c r="F14" s="83"/>
    </row>
    <row r="15" customFormat="false" ht="15" hidden="false" customHeight="false" outlineLevel="0" collapsed="false">
      <c r="A15" s="85"/>
      <c r="B15" s="86"/>
      <c r="C15" s="39" t="str">
        <f aca="false">IF(B15="","",B15*12)</f>
        <v/>
      </c>
      <c r="D15" s="39" t="str">
        <f aca="false">IF(C15="","",C15/0.12)</f>
        <v/>
      </c>
      <c r="E15" s="85"/>
      <c r="F15" s="85"/>
    </row>
    <row r="16" customFormat="false" ht="15" hidden="false" customHeight="false" outlineLevel="0" collapsed="false">
      <c r="A16" s="83"/>
      <c r="B16" s="84"/>
      <c r="C16" s="35" t="str">
        <f aca="false">IF(B16="","",B16*12)</f>
        <v/>
      </c>
      <c r="D16" s="35" t="str">
        <f aca="false">IF(C16="","",C16/0.12)</f>
        <v/>
      </c>
      <c r="E16" s="83"/>
      <c r="F16" s="83"/>
    </row>
    <row r="17" customFormat="false" ht="15" hidden="false" customHeight="false" outlineLevel="0" collapsed="false">
      <c r="A17" s="85"/>
      <c r="B17" s="86"/>
      <c r="C17" s="39" t="str">
        <f aca="false">IF(B17="","",B17*12)</f>
        <v/>
      </c>
      <c r="D17" s="39" t="str">
        <f aca="false">IF(C17="","",C17/0.12)</f>
        <v/>
      </c>
      <c r="E17" s="85"/>
      <c r="F17" s="85"/>
    </row>
    <row r="18" customFormat="false" ht="15" hidden="false" customHeight="false" outlineLevel="0" collapsed="false">
      <c r="A18" s="83"/>
      <c r="B18" s="84"/>
      <c r="C18" s="35" t="str">
        <f aca="false">IF(B18="","",B18*12)</f>
        <v/>
      </c>
      <c r="D18" s="35" t="str">
        <f aca="false">IF(C18="","",C18/0.12)</f>
        <v/>
      </c>
      <c r="E18" s="83"/>
      <c r="F18" s="83"/>
    </row>
    <row r="19" customFormat="false" ht="15" hidden="false" customHeight="false" outlineLevel="0" collapsed="false">
      <c r="A19" s="85"/>
      <c r="B19" s="86"/>
      <c r="C19" s="39" t="str">
        <f aca="false">IF(B19="","",B19*12)</f>
        <v/>
      </c>
      <c r="D19" s="39" t="str">
        <f aca="false">IF(C19="","",C19/0.12)</f>
        <v/>
      </c>
      <c r="E19" s="85"/>
      <c r="F19" s="85"/>
    </row>
    <row r="20" customFormat="false" ht="15" hidden="false" customHeight="false" outlineLevel="0" collapsed="false">
      <c r="A20" s="83"/>
      <c r="B20" s="84"/>
      <c r="C20" s="35" t="str">
        <f aca="false">IF(B20="","",B20*12)</f>
        <v/>
      </c>
      <c r="D20" s="35" t="str">
        <f aca="false">IF(C20="","",C20/0.12)</f>
        <v/>
      </c>
      <c r="E20" s="83"/>
      <c r="F20" s="83"/>
    </row>
    <row r="21" customFormat="false" ht="15" hidden="false" customHeight="false" outlineLevel="0" collapsed="false">
      <c r="A21" s="85"/>
      <c r="B21" s="86"/>
      <c r="C21" s="39" t="str">
        <f aca="false">IF(B21="","",B21*12)</f>
        <v/>
      </c>
      <c r="D21" s="39" t="str">
        <f aca="false">IF(C21="","",C21/0.12)</f>
        <v/>
      </c>
      <c r="E21" s="85"/>
      <c r="F21" s="85"/>
    </row>
    <row r="22" customFormat="false" ht="15" hidden="false" customHeight="false" outlineLevel="0" collapsed="false">
      <c r="A22" s="83"/>
      <c r="B22" s="84"/>
      <c r="C22" s="35" t="str">
        <f aca="false">IF(B22="","",B22*12)</f>
        <v/>
      </c>
      <c r="D22" s="35" t="str">
        <f aca="false">IF(C22="","",C22/0.12)</f>
        <v/>
      </c>
      <c r="E22" s="83"/>
      <c r="F22" s="83"/>
    </row>
    <row r="23" customFormat="false" ht="15" hidden="false" customHeight="false" outlineLevel="0" collapsed="false">
      <c r="A23" s="85"/>
      <c r="B23" s="86"/>
      <c r="C23" s="39" t="str">
        <f aca="false">IF(B23="","",B23*12)</f>
        <v/>
      </c>
      <c r="D23" s="39" t="str">
        <f aca="false">IF(C23="","",C23/0.12)</f>
        <v/>
      </c>
      <c r="E23" s="85"/>
      <c r="F23" s="85"/>
    </row>
    <row r="24" customFormat="false" ht="15" hidden="false" customHeight="false" outlineLevel="0" collapsed="false">
      <c r="A24" s="83"/>
      <c r="B24" s="84"/>
      <c r="C24" s="35" t="str">
        <f aca="false">IF(B24="","",B24*12)</f>
        <v/>
      </c>
      <c r="D24" s="35" t="str">
        <f aca="false">IF(C24="","",C24/0.12)</f>
        <v/>
      </c>
      <c r="E24" s="83"/>
      <c r="F24" s="83"/>
    </row>
    <row r="25" customFormat="false" ht="15" hidden="false" customHeight="false" outlineLevel="0" collapsed="false">
      <c r="A25" s="85"/>
      <c r="B25" s="86"/>
      <c r="C25" s="39" t="str">
        <f aca="false">IF(B25="","",B25*12)</f>
        <v/>
      </c>
      <c r="D25" s="39" t="str">
        <f aca="false">IF(C25="","",C25/0.12)</f>
        <v/>
      </c>
      <c r="E25" s="85"/>
      <c r="F25" s="85"/>
    </row>
    <row r="26" customFormat="false" ht="15" hidden="false" customHeight="true" outlineLevel="0" collapsed="false">
      <c r="A26" s="50" t="s">
        <v>163</v>
      </c>
      <c r="B26" s="50"/>
      <c r="C26" s="22" t="n">
        <f aca="false">SUM(C7:C25)</f>
        <v>3204</v>
      </c>
      <c r="D26" s="22" t="n">
        <f aca="false">SUM(D7:D25)</f>
        <v>26700</v>
      </c>
      <c r="E26" s="51"/>
      <c r="F26" s="51"/>
    </row>
    <row r="28" customFormat="false" ht="19.5" hidden="false" customHeight="true" outlineLevel="0" collapsed="false">
      <c r="A28" s="13" t="s">
        <v>164</v>
      </c>
      <c r="B28" s="13"/>
      <c r="C28" s="13"/>
      <c r="D28" s="13"/>
      <c r="E28" s="13"/>
      <c r="F28" s="13"/>
    </row>
    <row r="29" customFormat="false" ht="21.75" hidden="false" customHeight="true" outlineLevel="0" collapsed="false">
      <c r="A29" s="14" t="s">
        <v>100</v>
      </c>
      <c r="B29" s="14" t="s">
        <v>135</v>
      </c>
      <c r="C29" s="14"/>
      <c r="D29" s="14"/>
      <c r="E29" s="14"/>
      <c r="F29" s="14"/>
    </row>
    <row r="30" customFormat="false" ht="18" hidden="false" customHeight="true" outlineLevel="0" collapsed="false">
      <c r="A30" s="27" t="s">
        <v>165</v>
      </c>
      <c r="B30" s="87" t="n">
        <f aca="false">COUNTIF(E7:E25,"✓ Executed")</f>
        <v>0</v>
      </c>
      <c r="C30" s="87"/>
      <c r="D30" s="87"/>
      <c r="E30" s="87"/>
      <c r="F30" s="87"/>
    </row>
    <row r="31" customFormat="false" ht="18" hidden="false" customHeight="true" outlineLevel="0" collapsed="false">
      <c r="A31" s="29" t="s">
        <v>166</v>
      </c>
      <c r="B31" s="88" t="n">
        <f aca="false">SUMIF(E7:E25,"✓ Executed",C7:C25)</f>
        <v>0</v>
      </c>
      <c r="C31" s="88"/>
      <c r="D31" s="88"/>
      <c r="E31" s="88"/>
      <c r="F31" s="88"/>
    </row>
    <row r="32" customFormat="false" ht="18" hidden="false" customHeight="true" outlineLevel="0" collapsed="false">
      <c r="A32" s="27" t="s">
        <v>167</v>
      </c>
      <c r="B32" s="89" t="n">
        <f aca="false">SUMIF(E7:E25,"✓ Executed",D7:D25)</f>
        <v>0</v>
      </c>
      <c r="C32" s="89"/>
      <c r="D32" s="89"/>
      <c r="E32" s="89"/>
      <c r="F32" s="89"/>
    </row>
    <row r="33" customFormat="false" ht="18" hidden="false" customHeight="true" outlineLevel="0" collapsed="false">
      <c r="A33" s="29" t="s">
        <v>168</v>
      </c>
      <c r="B33" s="90" t="n">
        <f aca="false">COUNTIF(E7:E25,"Targeting")</f>
        <v>0</v>
      </c>
      <c r="C33" s="90"/>
      <c r="D33" s="90"/>
      <c r="E33" s="90"/>
      <c r="F33" s="90"/>
    </row>
    <row r="35" customFormat="false" ht="27.75" hidden="false" customHeight="true" outlineLevel="0" collapsed="false">
      <c r="A35" s="10" t="s">
        <v>169</v>
      </c>
      <c r="B35" s="10"/>
      <c r="C35" s="10"/>
      <c r="D35" s="10"/>
      <c r="E35" s="10"/>
      <c r="F35" s="10"/>
    </row>
  </sheetData>
  <mergeCells count="12">
    <mergeCell ref="A1:F1"/>
    <mergeCell ref="A2:F2"/>
    <mergeCell ref="A3:F3"/>
    <mergeCell ref="A5:F5"/>
    <mergeCell ref="A26:B26"/>
    <mergeCell ref="A28:F28"/>
    <mergeCell ref="B29:F29"/>
    <mergeCell ref="B30:F30"/>
    <mergeCell ref="B31:F31"/>
    <mergeCell ref="B32:F32"/>
    <mergeCell ref="B33:F33"/>
    <mergeCell ref="A35:F35"/>
  </mergeCells>
  <conditionalFormatting sqref="E7:E25">
    <cfRule type="cellIs" priority="2" operator="equal" aboveAverage="0" equalAverage="0" bottom="0" percent="0" rank="0" text="" dxfId="5">
      <formula>"✓ Executed"</formula>
    </cfRule>
    <cfRule type="cellIs" priority="3" operator="equal" aboveAverage="0" equalAverage="0" bottom="0" percent="0" rank="0" text="" dxfId="4">
      <formula>"Targeting"</formula>
    </cfRule>
    <cfRule type="cellIs" priority="4" operator="equal" aboveAverage="0" equalAverage="0" bottom="0" percent="0" rank="0" text="" dxfId="6">
      <formula>"Crawling"</formula>
    </cfRule>
  </conditionalFormatting>
  <dataValidations count="1">
    <dataValidation allowBlank="true" error="Select from list" errorStyle="stop" errorTitle="Invalid" operator="between" showDropDown="false" showErrorMessage="false" showInputMessage="false" sqref="E7:E30" type="list">
      <formula1>"Crawling,Targeting,Executing,✓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170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171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172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173</v>
      </c>
      <c r="B6" s="14" t="s">
        <v>174</v>
      </c>
      <c r="C6" s="14" t="s">
        <v>175</v>
      </c>
      <c r="D6" s="14" t="s">
        <v>176</v>
      </c>
      <c r="E6" s="14" t="s">
        <v>177</v>
      </c>
      <c r="F6" s="14" t="s">
        <v>60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</row>
    <row r="16" customFormat="false" ht="19.5" hidden="false" customHeight="true" outlineLevel="0" collapsed="false">
      <c r="A16" s="13" t="s">
        <v>178</v>
      </c>
      <c r="B16" s="13"/>
      <c r="C16" s="13"/>
      <c r="D16" s="13"/>
      <c r="E16" s="13"/>
      <c r="F16" s="13"/>
    </row>
    <row r="17" customFormat="false" ht="21.75" hidden="false" customHeight="true" outlineLevel="0" collapsed="false">
      <c r="A17" s="14" t="s">
        <v>179</v>
      </c>
      <c r="B17" s="14" t="s">
        <v>180</v>
      </c>
      <c r="C17" s="14"/>
      <c r="D17" s="14"/>
      <c r="E17" s="14"/>
      <c r="F17" s="14"/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38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</row>
    <row r="23" customFormat="false" ht="27.75" hidden="false" customHeight="true" outlineLevel="0" collapsed="false">
      <c r="A23" s="10" t="s">
        <v>181</v>
      </c>
      <c r="B23" s="10"/>
      <c r="C23" s="10"/>
      <c r="D23" s="10"/>
      <c r="E23" s="10"/>
      <c r="F23" s="10"/>
    </row>
  </sheetData>
  <mergeCells count="6">
    <mergeCell ref="A1:F1"/>
    <mergeCell ref="A2:F2"/>
    <mergeCell ref="A3:F3"/>
    <mergeCell ref="A5:F5"/>
    <mergeCell ref="A16:F16"/>
    <mergeCell ref="A23:F23"/>
  </mergeCells>
  <dataValidations count="8">
    <dataValidation allowBlank="true" error="Select from list" errorStyle="stop" errorTitle="Invalid" operator="between" showDropDown="false" showErrorMessage="false" showInputMessage="false" sqref="E7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8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9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10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11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12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13" type="list">
      <formula1>"Pay minimum,Attack aggressively,Skip temporarily,Negotiate"</formula1>
      <formula2>0</formula2>
    </dataValidation>
    <dataValidation allowBlank="true" error="Select from list" errorStyle="stop" errorTitle="Invalid" operator="between" showDropDown="false" showErrorMessage="false" showInputMessage="false" sqref="E14" type="list">
      <formula1>"Pay minimum,Attack aggressively,Skip temporarily,Negotiate"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182</v>
      </c>
      <c r="B2" s="12"/>
      <c r="C2" s="12"/>
      <c r="D2" s="12"/>
      <c r="E2" s="12"/>
    </row>
    <row r="3" customFormat="false" ht="15.75" hidden="false" customHeight="true" outlineLevel="0" collapsed="false">
      <c r="A3" s="3" t="s">
        <v>183</v>
      </c>
      <c r="B3" s="3"/>
      <c r="C3" s="3"/>
      <c r="D3" s="3"/>
      <c r="E3" s="3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13" t="s">
        <v>184</v>
      </c>
      <c r="B5" s="13"/>
      <c r="C5" s="13"/>
      <c r="D5" s="13"/>
      <c r="E5" s="13"/>
    </row>
    <row r="6" customFormat="false" ht="21.75" hidden="false" customHeight="true" outlineLevel="0" collapsed="false">
      <c r="A6" s="14" t="s">
        <v>134</v>
      </c>
      <c r="B6" s="14" t="s">
        <v>135</v>
      </c>
      <c r="C6" s="14"/>
      <c r="D6" s="14"/>
      <c r="E6" s="14"/>
    </row>
    <row r="7" customFormat="false" ht="15" hidden="false" customHeight="false" outlineLevel="0" collapsed="false">
      <c r="A7" s="27" t="s">
        <v>185</v>
      </c>
      <c r="B7" s="91" t="n">
        <v>22</v>
      </c>
      <c r="C7" s="91"/>
      <c r="D7" s="91"/>
      <c r="E7" s="91"/>
    </row>
    <row r="8" customFormat="false" ht="15" hidden="false" customHeight="false" outlineLevel="0" collapsed="false">
      <c r="A8" s="29" t="s">
        <v>186</v>
      </c>
      <c r="B8" s="92" t="n">
        <v>1.5</v>
      </c>
      <c r="C8" s="92"/>
      <c r="D8" s="92"/>
      <c r="E8" s="92"/>
    </row>
    <row r="9" customFormat="false" ht="15" hidden="false" customHeight="false" outlineLevel="0" collapsed="false">
      <c r="A9" s="27" t="s">
        <v>187</v>
      </c>
      <c r="B9" s="93" t="n">
        <v>30</v>
      </c>
      <c r="C9" s="93"/>
      <c r="D9" s="93"/>
      <c r="E9" s="93"/>
    </row>
    <row r="10" customFormat="false" ht="15" hidden="false" customHeight="false" outlineLevel="0" collapsed="false">
      <c r="A10" s="29" t="s">
        <v>188</v>
      </c>
      <c r="B10" s="94" t="n">
        <v>20</v>
      </c>
      <c r="C10" s="94"/>
      <c r="D10" s="94"/>
      <c r="E10" s="94"/>
    </row>
    <row r="12" customFormat="false" ht="21.75" hidden="false" customHeight="true" outlineLevel="0" collapsed="false">
      <c r="A12" s="14" t="s">
        <v>102</v>
      </c>
      <c r="B12" s="14" t="s">
        <v>135</v>
      </c>
      <c r="C12" s="14"/>
      <c r="D12" s="14"/>
      <c r="E12" s="14"/>
    </row>
    <row r="13" customFormat="false" ht="15.75" hidden="false" customHeight="true" outlineLevel="0" collapsed="false">
      <c r="A13" s="26" t="s">
        <v>189</v>
      </c>
      <c r="B13" s="95" t="n">
        <f aca="false">B7*B8</f>
        <v>33</v>
      </c>
      <c r="C13" s="95"/>
      <c r="D13" s="95"/>
      <c r="E13" s="95"/>
    </row>
    <row r="14" customFormat="false" ht="15.75" hidden="false" customHeight="true" outlineLevel="0" collapsed="false">
      <c r="A14" s="96" t="s">
        <v>190</v>
      </c>
      <c r="B14" s="97" t="n">
        <f aca="false">B13*B10</f>
        <v>660</v>
      </c>
      <c r="C14" s="97"/>
      <c r="D14" s="97"/>
      <c r="E14" s="97"/>
    </row>
    <row r="15" customFormat="false" ht="15.75" hidden="false" customHeight="true" outlineLevel="0" collapsed="false">
      <c r="A15" s="26" t="s">
        <v>191</v>
      </c>
      <c r="B15" s="95" t="n">
        <f aca="false">B14*(1-B9/100)</f>
        <v>462</v>
      </c>
      <c r="C15" s="95"/>
      <c r="D15" s="95"/>
      <c r="E15" s="95"/>
    </row>
    <row r="16" customFormat="false" ht="19.5" hidden="false" customHeight="true" outlineLevel="0" collapsed="false">
      <c r="A16" s="29" t="s">
        <v>192</v>
      </c>
      <c r="B16" s="98" t="n">
        <f aca="false">B15</f>
        <v>462</v>
      </c>
      <c r="C16" s="98"/>
      <c r="D16" s="98"/>
      <c r="E16" s="98"/>
    </row>
    <row r="18" customFormat="false" ht="19.5" hidden="false" customHeight="true" outlineLevel="0" collapsed="false">
      <c r="A18" s="13" t="s">
        <v>193</v>
      </c>
      <c r="B18" s="13"/>
      <c r="C18" s="13"/>
      <c r="D18" s="13"/>
      <c r="E18" s="13"/>
    </row>
    <row r="19" customFormat="false" ht="21.75" hidden="false" customHeight="true" outlineLevel="0" collapsed="false">
      <c r="A19" s="14" t="s">
        <v>194</v>
      </c>
      <c r="B19" s="14" t="s">
        <v>195</v>
      </c>
      <c r="C19" s="14" t="s">
        <v>196</v>
      </c>
      <c r="D19" s="14" t="s">
        <v>197</v>
      </c>
      <c r="E19" s="14" t="s">
        <v>198</v>
      </c>
    </row>
    <row r="20" customFormat="false" ht="15" hidden="false" customHeight="false" outlineLevel="0" collapsed="false">
      <c r="A20" s="38"/>
      <c r="B20" s="20"/>
      <c r="C20" s="20"/>
      <c r="D20" s="39" t="str">
        <f aca="false">IF(OR(B20="",C20=""),"",MAX(0,B20-C20))</f>
        <v/>
      </c>
      <c r="E20" s="99" t="str">
        <f aca="false">IF(D20="","",IF(B15=0,"N/A",CEILING(D20/B15,1)))</f>
        <v/>
      </c>
    </row>
    <row r="21" customFormat="false" ht="15" hidden="false" customHeight="false" outlineLevel="0" collapsed="false">
      <c r="A21" s="34"/>
      <c r="B21" s="17"/>
      <c r="C21" s="17"/>
      <c r="D21" s="35" t="str">
        <f aca="false">IF(OR(B21="",C21=""),"",MAX(0,B21-C21))</f>
        <v/>
      </c>
      <c r="E21" s="100" t="str">
        <f aca="false">IF(D21="","",IF(B15=0,"N/A",CEILING(D21/B15,1)))</f>
        <v/>
      </c>
    </row>
    <row r="22" customFormat="false" ht="15" hidden="false" customHeight="false" outlineLevel="0" collapsed="false">
      <c r="A22" s="38"/>
      <c r="B22" s="20"/>
      <c r="C22" s="20"/>
      <c r="D22" s="39" t="str">
        <f aca="false">IF(OR(B22="",C22=""),"",MAX(0,B22-C22))</f>
        <v/>
      </c>
      <c r="E22" s="99" t="str">
        <f aca="false">IF(D22="","",IF(B15=0,"N/A",CEILING(D22/B15,1)))</f>
        <v/>
      </c>
    </row>
    <row r="23" customFormat="false" ht="15" hidden="false" customHeight="false" outlineLevel="0" collapsed="false">
      <c r="A23" s="34"/>
      <c r="B23" s="17"/>
      <c r="C23" s="17"/>
      <c r="D23" s="35" t="str">
        <f aca="false">IF(OR(B23="",C23=""),"",MAX(0,B23-C23))</f>
        <v/>
      </c>
      <c r="E23" s="100" t="str">
        <f aca="false">IF(D23="","",IF(B15=0,"N/A",CEILING(D23/B15,1)))</f>
        <v/>
      </c>
    </row>
    <row r="24" customFormat="false" ht="15" hidden="false" customHeight="false" outlineLevel="0" collapsed="false">
      <c r="A24" s="38"/>
      <c r="B24" s="20"/>
      <c r="C24" s="20"/>
      <c r="D24" s="39" t="str">
        <f aca="false">IF(OR(B24="",C24=""),"",MAX(0,B24-C24))</f>
        <v/>
      </c>
      <c r="E24" s="99" t="str">
        <f aca="false">IF(D24="","",IF(B15=0,"N/A",CEILING(D24/B15,1)))</f>
        <v/>
      </c>
    </row>
    <row r="25" customFormat="false" ht="15" hidden="false" customHeight="false" outlineLevel="0" collapsed="false">
      <c r="A25" s="34"/>
      <c r="B25" s="17"/>
      <c r="C25" s="17"/>
      <c r="D25" s="35" t="str">
        <f aca="false">IF(OR(B25="",C25=""),"",MAX(0,B25-C25))</f>
        <v/>
      </c>
      <c r="E25" s="100" t="str">
        <f aca="false">IF(D25="","",IF(B15=0,"N/A",CEILING(D25/B15,1)))</f>
        <v/>
      </c>
    </row>
    <row r="26" customFormat="false" ht="15" hidden="false" customHeight="false" outlineLevel="0" collapsed="false">
      <c r="A26" s="38"/>
      <c r="B26" s="20"/>
      <c r="C26" s="20"/>
      <c r="D26" s="39" t="str">
        <f aca="false">IF(OR(B26="",C26=""),"",MAX(0,B26-C26))</f>
        <v/>
      </c>
      <c r="E26" s="99" t="str">
        <f aca="false">IF(D26="","",IF(B15=0,"N/A",CEILING(D26/B15,1)))</f>
        <v/>
      </c>
    </row>
    <row r="27" customFormat="false" ht="15" hidden="false" customHeight="false" outlineLevel="0" collapsed="false">
      <c r="A27" s="34"/>
      <c r="B27" s="17"/>
      <c r="C27" s="17"/>
      <c r="D27" s="35" t="str">
        <f aca="false">IF(OR(B27="",C27=""),"",MAX(0,B27-C27))</f>
        <v/>
      </c>
      <c r="E27" s="100" t="str">
        <f aca="false">IF(D27="","",IF(B15=0,"N/A",CEILING(D27/B15,1)))</f>
        <v/>
      </c>
    </row>
    <row r="29" customFormat="false" ht="27.75" hidden="false" customHeight="true" outlineLevel="0" collapsed="false">
      <c r="A29" s="10" t="s">
        <v>199</v>
      </c>
      <c r="B29" s="10"/>
      <c r="C29" s="10"/>
      <c r="D29" s="10"/>
      <c r="E29" s="10"/>
    </row>
  </sheetData>
  <mergeCells count="16">
    <mergeCell ref="A1:E1"/>
    <mergeCell ref="A2:E2"/>
    <mergeCell ref="A3:E3"/>
    <mergeCell ref="A5:E5"/>
    <mergeCell ref="B6:E6"/>
    <mergeCell ref="B7:E7"/>
    <mergeCell ref="B8:E8"/>
    <mergeCell ref="B9:E9"/>
    <mergeCell ref="B10:E10"/>
    <mergeCell ref="B12:E12"/>
    <mergeCell ref="B13:E13"/>
    <mergeCell ref="B14:E14"/>
    <mergeCell ref="B15:E15"/>
    <mergeCell ref="B16:E16"/>
    <mergeCell ref="A18:E1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200</v>
      </c>
      <c r="B2" s="12"/>
      <c r="C2" s="12"/>
      <c r="D2" s="12"/>
      <c r="E2" s="12"/>
    </row>
    <row r="3" customFormat="false" ht="15.75" hidden="false" customHeight="true" outlineLevel="0" collapsed="false">
      <c r="A3" s="3" t="s">
        <v>201</v>
      </c>
      <c r="B3" s="3"/>
      <c r="C3" s="3"/>
      <c r="D3" s="3"/>
      <c r="E3" s="3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13" t="s">
        <v>202</v>
      </c>
      <c r="B5" s="13"/>
      <c r="C5" s="13"/>
      <c r="D5" s="13"/>
      <c r="E5" s="13"/>
    </row>
    <row r="6" customFormat="false" ht="21.75" hidden="false" customHeight="true" outlineLevel="0" collapsed="false">
      <c r="A6" s="14" t="s">
        <v>100</v>
      </c>
      <c r="B6" s="14" t="s">
        <v>203</v>
      </c>
      <c r="C6" s="14"/>
      <c r="D6" s="14"/>
      <c r="E6" s="14"/>
    </row>
    <row r="7" customFormat="false" ht="15" hidden="false" customHeight="false" outlineLevel="0" collapsed="false">
      <c r="A7" s="38"/>
      <c r="B7" s="38"/>
      <c r="C7" s="38"/>
      <c r="D7" s="38"/>
      <c r="E7" s="38"/>
    </row>
    <row r="8" customFormat="false" ht="15" hidden="false" customHeight="false" outlineLevel="0" collapsed="false">
      <c r="A8" s="34"/>
      <c r="B8" s="34"/>
      <c r="C8" s="34"/>
      <c r="D8" s="34"/>
      <c r="E8" s="34"/>
    </row>
    <row r="9" customFormat="false" ht="15" hidden="false" customHeight="false" outlineLevel="0" collapsed="false">
      <c r="A9" s="38"/>
      <c r="B9" s="38"/>
      <c r="C9" s="38"/>
      <c r="D9" s="38"/>
      <c r="E9" s="38"/>
    </row>
    <row r="10" customFormat="false" ht="15" hidden="false" customHeight="false" outlineLevel="0" collapsed="false">
      <c r="A10" s="34"/>
      <c r="B10" s="34"/>
      <c r="C10" s="34"/>
      <c r="D10" s="34"/>
      <c r="E10" s="34"/>
    </row>
    <row r="11" customFormat="false" ht="15" hidden="false" customHeight="false" outlineLevel="0" collapsed="false">
      <c r="A11" s="38"/>
      <c r="B11" s="38"/>
      <c r="C11" s="38"/>
      <c r="D11" s="38"/>
      <c r="E11" s="38"/>
    </row>
    <row r="12" customFormat="false" ht="15" hidden="false" customHeight="false" outlineLevel="0" collapsed="false">
      <c r="A12" s="34"/>
      <c r="B12" s="34"/>
      <c r="C12" s="34"/>
      <c r="D12" s="34"/>
      <c r="E12" s="34"/>
    </row>
    <row r="14" customFormat="false" ht="19.5" hidden="false" customHeight="true" outlineLevel="0" collapsed="false">
      <c r="A14" s="13" t="s">
        <v>204</v>
      </c>
      <c r="B14" s="13"/>
      <c r="C14" s="13"/>
      <c r="D14" s="13"/>
      <c r="E14" s="13"/>
    </row>
    <row r="15" customFormat="false" ht="21.75" hidden="false" customHeight="true" outlineLevel="0" collapsed="false">
      <c r="A15" s="14" t="s">
        <v>205</v>
      </c>
      <c r="B15" s="14" t="s">
        <v>206</v>
      </c>
      <c r="C15" s="14" t="s">
        <v>207</v>
      </c>
      <c r="D15" s="14" t="s">
        <v>91</v>
      </c>
      <c r="E15" s="14" t="s">
        <v>208</v>
      </c>
    </row>
    <row r="16" customFormat="false" ht="15" hidden="false" customHeight="false" outlineLevel="0" collapsed="false">
      <c r="A16" s="38"/>
      <c r="B16" s="38"/>
      <c r="C16" s="38"/>
      <c r="D16" s="38"/>
      <c r="E16" s="38"/>
    </row>
    <row r="17" customFormat="false" ht="15" hidden="false" customHeight="false" outlineLevel="0" collapsed="false">
      <c r="A17" s="34"/>
      <c r="B17" s="34"/>
      <c r="C17" s="34"/>
      <c r="D17" s="34"/>
      <c r="E17" s="34"/>
    </row>
    <row r="18" customFormat="false" ht="15" hidden="false" customHeight="false" outlineLevel="0" collapsed="false">
      <c r="A18" s="38"/>
      <c r="B18" s="38"/>
      <c r="C18" s="38"/>
      <c r="D18" s="38"/>
      <c r="E18" s="38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0" customFormat="false" ht="15" hidden="false" customHeight="false" outlineLevel="0" collapsed="false">
      <c r="A20" s="38"/>
      <c r="B20" s="38"/>
      <c r="C20" s="38"/>
      <c r="D20" s="38"/>
      <c r="E20" s="38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4" customFormat="false" ht="27.75" hidden="false" customHeight="true" outlineLevel="0" collapsed="false">
      <c r="A24" s="10" t="s">
        <v>209</v>
      </c>
      <c r="B24" s="10"/>
      <c r="C24" s="10"/>
      <c r="D24" s="10"/>
      <c r="E24" s="10"/>
    </row>
  </sheetData>
  <mergeCells count="6">
    <mergeCell ref="A1:E1"/>
    <mergeCell ref="A2:E2"/>
    <mergeCell ref="A3:E3"/>
    <mergeCell ref="A5:E5"/>
    <mergeCell ref="A14:E14"/>
    <mergeCell ref="A24:E24"/>
  </mergeCells>
  <dataValidations count="6">
    <dataValidation allowBlank="true" error="Select from list" errorStyle="stop" errorTitle="Invalid" operator="between" showDropDown="false" showErrorMessage="false" showInputMessage="false" sqref="E16" type="list">
      <formula1>"Not started,Seeded,50%,75%,Executed"</formula1>
      <formula2>0</formula2>
    </dataValidation>
    <dataValidation allowBlank="true" error="Select from list" errorStyle="stop" errorTitle="Invalid" operator="between" showDropDown="false" showErrorMessage="false" showInputMessage="false" sqref="E17" type="list">
      <formula1>"Not started,Seeded,50%,75%,Executed"</formula1>
      <formula2>0</formula2>
    </dataValidation>
    <dataValidation allowBlank="true" error="Select from list" errorStyle="stop" errorTitle="Invalid" operator="between" showDropDown="false" showErrorMessage="false" showInputMessage="false" sqref="E18" type="list">
      <formula1>"Not started,Seeded,50%,75%,Executed"</formula1>
      <formula2>0</formula2>
    </dataValidation>
    <dataValidation allowBlank="true" error="Select from list" errorStyle="stop" errorTitle="Invalid" operator="between" showDropDown="false" showErrorMessage="false" showInputMessage="false" sqref="E19" type="list">
      <formula1>"Not started,Seeded,50%,75%,Executed"</formula1>
      <formula2>0</formula2>
    </dataValidation>
    <dataValidation allowBlank="true" error="Select from list" errorStyle="stop" errorTitle="Invalid" operator="between" showDropDown="false" showErrorMessage="false" showInputMessage="false" sqref="E20" type="list">
      <formula1>"Not started,Seeded,50%,75%,Executed"</formula1>
      <formula2>0</formula2>
    </dataValidation>
    <dataValidation allowBlank="true" error="Select from list" errorStyle="stop" errorTitle="Invalid" operator="between" showDropDown="false" showErrorMessage="false" showInputMessage="false" sqref="E21" type="list">
      <formula1>"Not started,Seeded,50%,75%,Executed"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210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211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212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213</v>
      </c>
      <c r="B6" s="14" t="s">
        <v>92</v>
      </c>
      <c r="C6" s="14" t="s">
        <v>60</v>
      </c>
      <c r="D6" s="14"/>
      <c r="E6" s="14"/>
      <c r="F6" s="14"/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</row>
    <row r="14" customFormat="false" ht="19.5" hidden="false" customHeight="true" outlineLevel="0" collapsed="false">
      <c r="A14" s="13" t="s">
        <v>214</v>
      </c>
      <c r="B14" s="13"/>
      <c r="C14" s="13"/>
      <c r="D14" s="13"/>
      <c r="E14" s="13"/>
      <c r="F14" s="13"/>
    </row>
    <row r="15" customFormat="false" ht="21.75" hidden="false" customHeight="true" outlineLevel="0" collapsed="false">
      <c r="A15" s="14" t="s">
        <v>215</v>
      </c>
      <c r="B15" s="14" t="s">
        <v>216</v>
      </c>
      <c r="C15" s="14" t="s">
        <v>195</v>
      </c>
      <c r="D15" s="14" t="s">
        <v>196</v>
      </c>
      <c r="E15" s="14" t="s">
        <v>217</v>
      </c>
      <c r="F15" s="14" t="s">
        <v>93</v>
      </c>
    </row>
    <row r="16" customFormat="false" ht="15" hidden="false" customHeight="false" outlineLevel="0" collapsed="false">
      <c r="A16" s="38"/>
      <c r="B16" s="38"/>
      <c r="C16" s="38"/>
      <c r="D16" s="38"/>
      <c r="E16" s="38"/>
      <c r="F16" s="38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38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</row>
    <row r="22" customFormat="false" ht="15" hidden="false" customHeight="false" outlineLevel="0" collapsed="false">
      <c r="A22" s="38"/>
      <c r="B22" s="38"/>
      <c r="C22" s="38"/>
      <c r="D22" s="38"/>
      <c r="E22" s="38"/>
      <c r="F22" s="38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</row>
    <row r="26" customFormat="false" ht="27.75" hidden="false" customHeight="true" outlineLevel="0" collapsed="false">
      <c r="A26" s="10" t="s">
        <v>218</v>
      </c>
      <c r="B26" s="10"/>
      <c r="C26" s="10"/>
      <c r="D26" s="10"/>
      <c r="E26" s="10"/>
      <c r="F26" s="10"/>
    </row>
  </sheetData>
  <mergeCells count="6">
    <mergeCell ref="A1:F1"/>
    <mergeCell ref="A2:F2"/>
    <mergeCell ref="A3:F3"/>
    <mergeCell ref="A5:F5"/>
    <mergeCell ref="A14:F14"/>
    <mergeCell ref="A26:F26"/>
  </mergeCells>
  <dataValidations count="6">
    <dataValidation allowBlank="true" error="Select from list" errorStyle="stop" errorTitle="Invalid" operator="between" showDropDown="false" showErrorMessage="false" showInputMessage="false" sqref="B7" type="list">
      <formula1>"Not checked,✓ Checked,Needs update"</formula1>
      <formula2>0</formula2>
    </dataValidation>
    <dataValidation allowBlank="true" error="Select from list" errorStyle="stop" errorTitle="Invalid" operator="between" showDropDown="false" showErrorMessage="false" showInputMessage="false" sqref="B8" type="list">
      <formula1>"Not checked,✓ Checked,Needs update"</formula1>
      <formula2>0</formula2>
    </dataValidation>
    <dataValidation allowBlank="true" error="Select from list" errorStyle="stop" errorTitle="Invalid" operator="between" showDropDown="false" showErrorMessage="false" showInputMessage="false" sqref="B9" type="list">
      <formula1>"Not checked,✓ Checked,Needs update"</formula1>
      <formula2>0</formula2>
    </dataValidation>
    <dataValidation allowBlank="true" error="Select from list" errorStyle="stop" errorTitle="Invalid" operator="between" showDropDown="false" showErrorMessage="false" showInputMessage="false" sqref="B10" type="list">
      <formula1>"Not checked,✓ Checked,Needs update"</formula1>
      <formula2>0</formula2>
    </dataValidation>
    <dataValidation allowBlank="true" error="Select from list" errorStyle="stop" errorTitle="Invalid" operator="between" showDropDown="false" showErrorMessage="false" showInputMessage="false" sqref="B11" type="list">
      <formula1>"Not checked,✓ Checked,Needs update"</formula1>
      <formula2>0</formula2>
    </dataValidation>
    <dataValidation allowBlank="true" error="Select from list" errorStyle="stop" errorTitle="Invalid" operator="between" showDropDown="false" showErrorMessage="false" showInputMessage="false" sqref="B12" type="list">
      <formula1>"Not checked,✓ Checked,Needs update"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219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220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221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222</v>
      </c>
      <c r="B6" s="14" t="s">
        <v>223</v>
      </c>
      <c r="C6" s="14" t="s">
        <v>224</v>
      </c>
      <c r="D6" s="14" t="s">
        <v>225</v>
      </c>
      <c r="E6" s="14" t="s">
        <v>226</v>
      </c>
      <c r="F6" s="14" t="s">
        <v>227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</row>
    <row r="16" customFormat="false" ht="19.5" hidden="false" customHeight="true" outlineLevel="0" collapsed="false">
      <c r="A16" s="13" t="s">
        <v>228</v>
      </c>
      <c r="B16" s="13"/>
      <c r="C16" s="13"/>
      <c r="D16" s="13"/>
      <c r="E16" s="13"/>
      <c r="F16" s="13"/>
    </row>
    <row r="17" customFormat="false" ht="21.75" hidden="false" customHeight="true" outlineLevel="0" collapsed="false">
      <c r="A17" s="14" t="s">
        <v>222</v>
      </c>
      <c r="B17" s="14" t="s">
        <v>115</v>
      </c>
      <c r="C17" s="14" t="s">
        <v>229</v>
      </c>
      <c r="D17" s="14" t="s">
        <v>230</v>
      </c>
      <c r="E17" s="14" t="s">
        <v>60</v>
      </c>
      <c r="F17" s="14"/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38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</row>
    <row r="22" customFormat="false" ht="15" hidden="false" customHeight="false" outlineLevel="0" collapsed="false">
      <c r="A22" s="38"/>
      <c r="B22" s="38"/>
      <c r="C22" s="38"/>
      <c r="D22" s="38"/>
      <c r="E22" s="38"/>
      <c r="F22" s="38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</row>
    <row r="26" customFormat="false" ht="27.75" hidden="false" customHeight="true" outlineLevel="0" collapsed="false">
      <c r="A26" s="10" t="s">
        <v>231</v>
      </c>
      <c r="B26" s="10"/>
      <c r="C26" s="10"/>
      <c r="D26" s="10"/>
      <c r="E26" s="10"/>
      <c r="F26" s="10"/>
    </row>
  </sheetData>
  <mergeCells count="6">
    <mergeCell ref="A1:F1"/>
    <mergeCell ref="A2:F2"/>
    <mergeCell ref="A3:F3"/>
    <mergeCell ref="A5:F5"/>
    <mergeCell ref="A16:F16"/>
    <mergeCell ref="A26:F26"/>
  </mergeCells>
  <dataValidations count="6">
    <dataValidation allowBlank="true" error="Select from list" errorStyle="stop" errorTitle="Invalid" operator="between" showDropDown="false" showErrorMessage="false" showInputMessage="false" sqref="C18" type="list">
      <formula1>"✓ Active,Partial (whole shares),Not set up"</formula1>
      <formula2>0</formula2>
    </dataValidation>
    <dataValidation allowBlank="true" error="Select from list" errorStyle="stop" errorTitle="Invalid" operator="between" showDropDown="false" showErrorMessage="false" showInputMessage="false" sqref="C19" type="list">
      <formula1>"✓ Active,Partial (whole shares),Not set up"</formula1>
      <formula2>0</formula2>
    </dataValidation>
    <dataValidation allowBlank="true" error="Select from list" errorStyle="stop" errorTitle="Invalid" operator="between" showDropDown="false" showErrorMessage="false" showInputMessage="false" sqref="C20" type="list">
      <formula1>"✓ Active,Partial (whole shares),Not set up"</formula1>
      <formula2>0</formula2>
    </dataValidation>
    <dataValidation allowBlank="true" error="Select from list" errorStyle="stop" errorTitle="Invalid" operator="between" showDropDown="false" showErrorMessage="false" showInputMessage="false" sqref="C21" type="list">
      <formula1>"✓ Active,Partial (whole shares),Not set up"</formula1>
      <formula2>0</formula2>
    </dataValidation>
    <dataValidation allowBlank="true" error="Select from list" errorStyle="stop" errorTitle="Invalid" operator="between" showDropDown="false" showErrorMessage="false" showInputMessage="false" sqref="C22" type="list">
      <formula1>"✓ Active,Partial (whole shares),Not set up"</formula1>
      <formula2>0</formula2>
    </dataValidation>
    <dataValidation allowBlank="true" error="Select from list" errorStyle="stop" errorTitle="Invalid" operator="between" showDropDown="false" showErrorMessage="false" showInputMessage="false" sqref="C23" type="list">
      <formula1>"✓ Active,Partial (whole shares),Not set 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232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233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234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235</v>
      </c>
      <c r="B6" s="14" t="s">
        <v>236</v>
      </c>
      <c r="C6" s="14" t="s">
        <v>127</v>
      </c>
      <c r="D6" s="14" t="s">
        <v>237</v>
      </c>
      <c r="E6" s="14" t="s">
        <v>92</v>
      </c>
      <c r="F6" s="14" t="s">
        <v>238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</row>
    <row r="15" customFormat="false" ht="27.75" hidden="false" customHeight="true" outlineLevel="0" collapsed="false">
      <c r="A15" s="10" t="s">
        <v>239</v>
      </c>
      <c r="B15" s="10"/>
      <c r="C15" s="10"/>
      <c r="D15" s="10"/>
      <c r="E15" s="10"/>
      <c r="F15" s="10"/>
    </row>
  </sheetData>
  <mergeCells count="5">
    <mergeCell ref="A1:F1"/>
    <mergeCell ref="A2:F2"/>
    <mergeCell ref="A3:F3"/>
    <mergeCell ref="A5:F5"/>
    <mergeCell ref="A15:F15"/>
  </mergeCells>
  <dataValidations count="12">
    <dataValidation allowBlank="true" error="Select from list" errorStyle="stop" errorTitle="Invalid" operator="between" showDropDown="false" showErrorMessage="false" showInputMessage="false" sqref="E7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7" type="list">
      <formula1>"Yes,No"</formula1>
      <formula2>0</formula2>
    </dataValidation>
    <dataValidation allowBlank="true" error="Select from list" errorStyle="stop" errorTitle="Invalid" operator="between" showDropDown="false" showErrorMessage="false" showInputMessage="false" sqref="E8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8" type="list">
      <formula1>"Yes,No"</formula1>
      <formula2>0</formula2>
    </dataValidation>
    <dataValidation allowBlank="true" error="Select from list" errorStyle="stop" errorTitle="Invalid" operator="between" showDropDown="false" showErrorMessage="false" showInputMessage="false" sqref="E9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9" type="list">
      <formula1>"Yes,No"</formula1>
      <formula2>0</formula2>
    </dataValidation>
    <dataValidation allowBlank="true" error="Select from list" errorStyle="stop" errorTitle="Invalid" operator="between" showDropDown="false" showErrorMessage="false" showInputMessage="false" sqref="E10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10" type="list">
      <formula1>"Yes,No"</formula1>
      <formula2>0</formula2>
    </dataValidation>
    <dataValidation allowBlank="true" error="Select from list" errorStyle="stop" errorTitle="Invalid" operator="between" showDropDown="false" showErrorMessage="false" showInputMessage="false" sqref="E11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11" type="list">
      <formula1>"Yes,No"</formula1>
      <formula2>0</formula2>
    </dataValidation>
    <dataValidation allowBlank="true" error="Select from list" errorStyle="stop" errorTitle="Invalid" operator="between" showDropDown="false" showErrorMessage="false" showInputMessage="false" sqref="E12" type="list">
      <formula1>"On target,Overweight — pause,Underweight — add"</formula1>
      <formula2>0</formula2>
    </dataValidation>
    <dataValidation allowBlank="true" error="Select from list" errorStyle="stop" errorTitle="Invalid" operator="between" showDropDown="false" showErrorMessage="false" showInputMessage="false" sqref="F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240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241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242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222</v>
      </c>
      <c r="B6" s="14" t="s">
        <v>113</v>
      </c>
      <c r="C6" s="14" t="s">
        <v>115</v>
      </c>
      <c r="D6" s="14" t="s">
        <v>243</v>
      </c>
      <c r="E6" s="14" t="s">
        <v>244</v>
      </c>
      <c r="F6" s="14" t="s">
        <v>89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</row>
    <row r="16" customFormat="false" ht="19.5" hidden="false" customHeight="true" outlineLevel="0" collapsed="false">
      <c r="A16" s="13" t="s">
        <v>245</v>
      </c>
      <c r="B16" s="13"/>
      <c r="C16" s="13"/>
      <c r="D16" s="13"/>
      <c r="E16" s="13"/>
      <c r="F16" s="13"/>
    </row>
    <row r="17" customFormat="false" ht="21.75" hidden="false" customHeight="true" outlineLevel="0" collapsed="false">
      <c r="A17" s="14" t="s">
        <v>246</v>
      </c>
      <c r="B17" s="14" t="s">
        <v>247</v>
      </c>
      <c r="C17" s="14" t="s">
        <v>92</v>
      </c>
      <c r="D17" s="14" t="s">
        <v>60</v>
      </c>
      <c r="E17" s="14"/>
      <c r="F17" s="14"/>
    </row>
    <row r="18" customFormat="false" ht="15" hidden="false" customHeight="false" outlineLevel="0" collapsed="false">
      <c r="A18" s="38"/>
      <c r="B18" s="38"/>
      <c r="C18" s="38"/>
      <c r="D18" s="38"/>
      <c r="E18" s="38"/>
      <c r="F18" s="38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</row>
    <row r="23" customFormat="false" ht="27.75" hidden="false" customHeight="true" outlineLevel="0" collapsed="false">
      <c r="A23" s="10" t="s">
        <v>248</v>
      </c>
      <c r="B23" s="10"/>
      <c r="C23" s="10"/>
      <c r="D23" s="10"/>
      <c r="E23" s="10"/>
      <c r="F23" s="10"/>
    </row>
  </sheetData>
  <mergeCells count="6">
    <mergeCell ref="A1:F1"/>
    <mergeCell ref="A2:F2"/>
    <mergeCell ref="A3:F3"/>
    <mergeCell ref="A5:F5"/>
    <mergeCell ref="A16:F16"/>
    <mergeCell ref="A23:F23"/>
  </mergeCells>
  <dataValidations count="35">
    <dataValidation allowBlank="true" error="Select from list" errorStyle="stop" errorTitle="Invalid" operator="between" showDropDown="false" showErrorMessage="false" showInputMessage="false" sqref="B7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7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7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7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8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8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8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8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9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9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9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9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10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10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10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10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11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11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11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11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12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12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12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12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13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13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13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13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B14" type="list">
      <formula1>"Engine 1,Engine 2,Engine 3"</formula1>
      <formula2>0</formula2>
    </dataValidation>
    <dataValidation allowBlank="true" error="Select from list" errorStyle="stop" errorTitle="Invalid" operator="between" showDropDown="false" showErrorMessage="false" showInputMessage="false" sqref="C14" type="list">
      <formula1>"Questrade,Wealthsimple,Other"</formula1>
      <formula2>0</formula2>
    </dataValidation>
    <dataValidation allowBlank="true" error="Select from list" errorStyle="stop" errorTitle="Invalid" operator="between" showDropDown="false" showErrorMessage="false" showInputMessage="false" sqref="D14" type="list">
      <formula1>"✓ Active,Pending,Not yet set up"</formula1>
      <formula2>0</formula2>
    </dataValidation>
    <dataValidation allowBlank="true" error="Select from list" errorStyle="stop" errorTitle="Invalid" operator="between" showDropDown="false" showErrorMessage="false" showInputMessage="false" sqref="E14" type="list">
      <formula1>"Yes,No (whole shares)"</formula1>
      <formula2>0</formula2>
    </dataValidation>
    <dataValidation allowBlank="true" error="Select from list" errorStyle="stop" errorTitle="Invalid" operator="between" showDropDown="false" showErrorMessage="false" showInputMessage="false" sqref="C18" type="list">
      <formula1>"Not yet,Approaching,✓ Open"</formula1>
      <formula2>0</formula2>
    </dataValidation>
    <dataValidation allowBlank="true" error="Select from list" errorStyle="stop" errorTitle="Invalid" operator="between" showDropDown="false" showErrorMessage="false" showInputMessage="false" sqref="C19" type="list">
      <formula1>"Not yet,Approaching,✓ Open"</formula1>
      <formula2>0</formula2>
    </dataValidation>
    <dataValidation allowBlank="true" error="Select from list" errorStyle="stop" errorTitle="Invalid" operator="between" showDropDown="false" showErrorMessage="false" showInputMessage="false" sqref="C20" type="list">
      <formula1>"Not yet,Approaching,✓ 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249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250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251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134</v>
      </c>
      <c r="B6" s="14" t="s">
        <v>135</v>
      </c>
      <c r="C6" s="14"/>
      <c r="D6" s="14"/>
      <c r="E6" s="14"/>
      <c r="F6" s="14"/>
    </row>
    <row r="7" customFormat="false" ht="15" hidden="false" customHeight="false" outlineLevel="0" collapsed="false">
      <c r="A7" s="27" t="s">
        <v>252</v>
      </c>
      <c r="B7" s="101" t="n">
        <v>2000</v>
      </c>
      <c r="C7" s="101"/>
      <c r="D7" s="101"/>
      <c r="E7" s="101"/>
      <c r="F7" s="101"/>
    </row>
    <row r="8" customFormat="false" ht="15" hidden="false" customHeight="false" outlineLevel="0" collapsed="false">
      <c r="A8" s="29" t="s">
        <v>253</v>
      </c>
      <c r="B8" s="102" t="n">
        <v>12</v>
      </c>
      <c r="C8" s="102"/>
      <c r="D8" s="102"/>
      <c r="E8" s="102"/>
      <c r="F8" s="102"/>
    </row>
    <row r="9" customFormat="false" ht="15" hidden="false" customHeight="false" outlineLevel="0" collapsed="false">
      <c r="A9" s="27" t="s">
        <v>254</v>
      </c>
      <c r="B9" s="101" t="n">
        <v>0</v>
      </c>
      <c r="C9" s="101"/>
      <c r="D9" s="101"/>
      <c r="E9" s="101"/>
      <c r="F9" s="101"/>
    </row>
    <row r="11" customFormat="false" ht="21.75" hidden="false" customHeight="true" outlineLevel="0" collapsed="false">
      <c r="A11" s="14" t="s">
        <v>255</v>
      </c>
      <c r="B11" s="14" t="s">
        <v>102</v>
      </c>
      <c r="C11" s="14"/>
      <c r="D11" s="14"/>
      <c r="E11" s="14"/>
      <c r="F11" s="14"/>
    </row>
    <row r="12" customFormat="false" ht="18" hidden="false" customHeight="true" outlineLevel="0" collapsed="false">
      <c r="A12" s="52" t="s">
        <v>256</v>
      </c>
      <c r="B12" s="103" t="n">
        <f aca="false">B7*12</f>
        <v>24000</v>
      </c>
      <c r="C12" s="103"/>
      <c r="D12" s="103"/>
      <c r="E12" s="103"/>
      <c r="F12" s="103"/>
    </row>
    <row r="13" customFormat="false" ht="18" hidden="false" customHeight="true" outlineLevel="0" collapsed="false">
      <c r="A13" s="104" t="s">
        <v>257</v>
      </c>
      <c r="B13" s="105" t="n">
        <f aca="false">B12/(B8/100)</f>
        <v>200000</v>
      </c>
      <c r="C13" s="105"/>
      <c r="D13" s="105"/>
      <c r="E13" s="105"/>
      <c r="F13" s="105"/>
    </row>
    <row r="14" customFormat="false" ht="18" hidden="false" customHeight="true" outlineLevel="0" collapsed="false">
      <c r="A14" s="52" t="s">
        <v>258</v>
      </c>
      <c r="B14" s="103" t="n">
        <f aca="false">B9/(B8/100)</f>
        <v>0</v>
      </c>
      <c r="C14" s="103"/>
      <c r="D14" s="103"/>
      <c r="E14" s="103"/>
      <c r="F14" s="103"/>
    </row>
    <row r="15" customFormat="false" ht="24" hidden="false" customHeight="true" outlineLevel="0" collapsed="false">
      <c r="A15" s="106" t="s">
        <v>259</v>
      </c>
      <c r="B15" s="107" t="n">
        <f aca="false">MAX(0,B13-B14)</f>
        <v>200000</v>
      </c>
      <c r="C15" s="107"/>
      <c r="D15" s="107"/>
      <c r="E15" s="107"/>
      <c r="F15" s="107"/>
    </row>
    <row r="16" customFormat="false" ht="18" hidden="false" customHeight="true" outlineLevel="0" collapsed="false">
      <c r="A16" s="52" t="s">
        <v>260</v>
      </c>
      <c r="B16" s="108" t="n">
        <f aca="false">IF(B13=0,0,MIN(100,B14/B13*100))</f>
        <v>0</v>
      </c>
      <c r="C16" s="108"/>
      <c r="D16" s="108"/>
      <c r="E16" s="108"/>
      <c r="F16" s="108"/>
    </row>
    <row r="18" customFormat="false" ht="21.75" hidden="false" customHeight="true" outlineLevel="0" collapsed="false">
      <c r="A18" s="64" t="s">
        <v>261</v>
      </c>
      <c r="B18" s="64"/>
      <c r="C18" s="65" t="n">
        <f aca="false">IF(B13=0,0,MIN(100,B14/B13*100))</f>
        <v>0</v>
      </c>
      <c r="D18" s="65"/>
      <c r="E18" s="65"/>
      <c r="F18" s="65"/>
    </row>
    <row r="20" customFormat="false" ht="19.5" hidden="false" customHeight="true" outlineLevel="0" collapsed="false">
      <c r="A20" s="13" t="s">
        <v>262</v>
      </c>
      <c r="B20" s="13"/>
      <c r="C20" s="13"/>
      <c r="D20" s="13"/>
      <c r="E20" s="13"/>
      <c r="F20" s="13"/>
    </row>
    <row r="21" customFormat="false" ht="21.75" hidden="false" customHeight="true" outlineLevel="0" collapsed="false">
      <c r="A21" s="14" t="s">
        <v>263</v>
      </c>
      <c r="B21" s="14" t="s">
        <v>264</v>
      </c>
      <c r="C21" s="14" t="s">
        <v>265</v>
      </c>
      <c r="D21" s="14" t="s">
        <v>127</v>
      </c>
      <c r="E21" s="14" t="s">
        <v>237</v>
      </c>
      <c r="F21" s="14" t="s">
        <v>266</v>
      </c>
    </row>
    <row r="22" customFormat="false" ht="15" hidden="false" customHeight="false" outlineLevel="0" collapsed="false">
      <c r="A22" s="109" t="s">
        <v>267</v>
      </c>
      <c r="B22" s="38" t="s">
        <v>268</v>
      </c>
      <c r="C22" s="110" t="n">
        <v>20</v>
      </c>
      <c r="D22" s="111"/>
      <c r="E22" s="112" t="str">
        <f aca="false">IF(D22="","",IF($D$32=0,0,D22/$D$32*100))</f>
        <v/>
      </c>
      <c r="F22" s="113" t="str">
        <f aca="false">IF(D22="","",IF($D$32=0,"No data",IF(E22&lt;C22-2,"ADD",IF(E22&gt;C22+2,"TRIM","ON TARGET"))))</f>
        <v/>
      </c>
    </row>
    <row r="23" customFormat="false" ht="15" hidden="false" customHeight="false" outlineLevel="0" collapsed="false">
      <c r="A23" s="114" t="s">
        <v>269</v>
      </c>
      <c r="B23" s="34" t="s">
        <v>270</v>
      </c>
      <c r="C23" s="115" t="n">
        <v>10</v>
      </c>
      <c r="D23" s="116"/>
      <c r="E23" s="117" t="str">
        <f aca="false">IF(D23="","",IF($D$32=0,0,D23/$D$32*100))</f>
        <v/>
      </c>
      <c r="F23" s="118" t="str">
        <f aca="false">IF(D23="","",IF($D$32=0,"No data",IF(E23&lt;C23-2,"ADD",IF(E23&gt;C23+2,"TRIM","ON TARGET"))))</f>
        <v/>
      </c>
    </row>
    <row r="24" customFormat="false" ht="15" hidden="false" customHeight="false" outlineLevel="0" collapsed="false">
      <c r="A24" s="109" t="s">
        <v>271</v>
      </c>
      <c r="B24" s="38" t="s">
        <v>272</v>
      </c>
      <c r="C24" s="110" t="n">
        <v>5</v>
      </c>
      <c r="D24" s="111"/>
      <c r="E24" s="112" t="str">
        <f aca="false">IF(D24="","",IF($D$32=0,0,D24/$D$32*100))</f>
        <v/>
      </c>
      <c r="F24" s="113" t="str">
        <f aca="false">IF(D24="","",IF($D$32=0,"No data",IF(E24&lt;C24-2,"ADD",IF(E24&gt;C24+2,"TRIM","ON TARGET"))))</f>
        <v/>
      </c>
    </row>
    <row r="25" customFormat="false" ht="15" hidden="false" customHeight="false" outlineLevel="0" collapsed="false">
      <c r="A25" s="114" t="s">
        <v>273</v>
      </c>
      <c r="B25" s="34" t="s">
        <v>274</v>
      </c>
      <c r="C25" s="115" t="n">
        <v>10</v>
      </c>
      <c r="D25" s="116"/>
      <c r="E25" s="117" t="str">
        <f aca="false">IF(D25="","",IF($D$32=0,0,D25/$D$32*100))</f>
        <v/>
      </c>
      <c r="F25" s="118" t="str">
        <f aca="false">IF(D25="","",IF($D$32=0,"No data",IF(E25&lt;C25-2,"ADD",IF(E25&gt;C25+2,"TRIM","ON TARGET"))))</f>
        <v/>
      </c>
    </row>
    <row r="26" customFormat="false" ht="15" hidden="false" customHeight="false" outlineLevel="0" collapsed="false">
      <c r="A26" s="109" t="s">
        <v>275</v>
      </c>
      <c r="B26" s="38" t="s">
        <v>276</v>
      </c>
      <c r="C26" s="110" t="n">
        <v>10</v>
      </c>
      <c r="D26" s="111"/>
      <c r="E26" s="112" t="str">
        <f aca="false">IF(D26="","",IF($D$32=0,0,D26/$D$32*100))</f>
        <v/>
      </c>
      <c r="F26" s="113" t="str">
        <f aca="false">IF(D26="","",IF($D$32=0,"No data",IF(E26&lt;C26-2,"ADD",IF(E26&gt;C26+2,"TRIM","ON TARGET"))))</f>
        <v/>
      </c>
    </row>
    <row r="27" customFormat="false" ht="15" hidden="false" customHeight="false" outlineLevel="0" collapsed="false">
      <c r="A27" s="114" t="s">
        <v>277</v>
      </c>
      <c r="B27" s="34" t="s">
        <v>278</v>
      </c>
      <c r="C27" s="115" t="n">
        <v>10</v>
      </c>
      <c r="D27" s="116"/>
      <c r="E27" s="117" t="str">
        <f aca="false">IF(D27="","",IF($D$32=0,0,D27/$D$32*100))</f>
        <v/>
      </c>
      <c r="F27" s="118" t="str">
        <f aca="false">IF(D27="","",IF($D$32=0,"No data",IF(E27&lt;C27-2,"ADD",IF(E27&gt;C27+2,"TRIM","ON TARGET"))))</f>
        <v/>
      </c>
    </row>
    <row r="28" customFormat="false" ht="15" hidden="false" customHeight="false" outlineLevel="0" collapsed="false">
      <c r="A28" s="109" t="s">
        <v>279</v>
      </c>
      <c r="B28" s="38" t="s">
        <v>280</v>
      </c>
      <c r="C28" s="110" t="n">
        <v>10</v>
      </c>
      <c r="D28" s="111"/>
      <c r="E28" s="112" t="str">
        <f aca="false">IF(D28="","",IF($D$32=0,0,D28/$D$32*100))</f>
        <v/>
      </c>
      <c r="F28" s="113" t="str">
        <f aca="false">IF(D28="","",IF($D$32=0,"No data",IF(E28&lt;C28-2,"ADD",IF(E28&gt;C28+2,"TRIM","ON TARGET"))))</f>
        <v/>
      </c>
    </row>
    <row r="29" customFormat="false" ht="15" hidden="false" customHeight="false" outlineLevel="0" collapsed="false">
      <c r="A29" s="114" t="s">
        <v>281</v>
      </c>
      <c r="B29" s="34" t="s">
        <v>282</v>
      </c>
      <c r="C29" s="115" t="n">
        <v>10</v>
      </c>
      <c r="D29" s="116"/>
      <c r="E29" s="117" t="str">
        <f aca="false">IF(D29="","",IF($D$32=0,0,D29/$D$32*100))</f>
        <v/>
      </c>
      <c r="F29" s="118" t="str">
        <f aca="false">IF(D29="","",IF($D$32=0,"No data",IF(E29&lt;C29-2,"ADD",IF(E29&gt;C29+2,"TRIM","ON TARGET"))))</f>
        <v/>
      </c>
    </row>
    <row r="30" customFormat="false" ht="15" hidden="false" customHeight="false" outlineLevel="0" collapsed="false">
      <c r="A30" s="109" t="s">
        <v>283</v>
      </c>
      <c r="B30" s="38" t="s">
        <v>284</v>
      </c>
      <c r="C30" s="110" t="n">
        <v>10</v>
      </c>
      <c r="D30" s="111"/>
      <c r="E30" s="112" t="str">
        <f aca="false">IF(D30="","",IF($D$32=0,0,D30/$D$32*100))</f>
        <v/>
      </c>
      <c r="F30" s="113" t="str">
        <f aca="false">IF(D30="","",IF($D$32=0,"No data",IF(E30&lt;C30-2,"ADD",IF(E30&gt;C30+2,"TRIM","ON TARGET"))))</f>
        <v/>
      </c>
    </row>
    <row r="31" customFormat="false" ht="15" hidden="false" customHeight="false" outlineLevel="0" collapsed="false">
      <c r="A31" s="114" t="s">
        <v>285</v>
      </c>
      <c r="B31" s="34" t="s">
        <v>286</v>
      </c>
      <c r="C31" s="115" t="n">
        <v>5</v>
      </c>
      <c r="D31" s="116"/>
      <c r="E31" s="117" t="str">
        <f aca="false">IF(D31="","",IF($D$32=0,0,D31/$D$32*100))</f>
        <v/>
      </c>
      <c r="F31" s="118" t="str">
        <f aca="false">IF(D31="","",IF($D$32=0,"No data",IF(E31&lt;C31-2,"ADD",IF(E31&gt;C31+2,"TRIM","ON TARGET"))))</f>
        <v/>
      </c>
    </row>
    <row r="32" customFormat="false" ht="15" hidden="false" customHeight="false" outlineLevel="0" collapsed="false">
      <c r="A32" s="51"/>
      <c r="B32" s="51" t="s">
        <v>98</v>
      </c>
      <c r="C32" s="119" t="n">
        <f aca="false">SUM(C22:C31)</f>
        <v>100</v>
      </c>
      <c r="D32" s="120" t="n">
        <f aca="false">SUM(D22:D31)</f>
        <v>0</v>
      </c>
      <c r="E32" s="51"/>
      <c r="F32" s="51"/>
    </row>
    <row r="34" customFormat="false" ht="27.75" hidden="false" customHeight="true" outlineLevel="0" collapsed="false">
      <c r="A34" s="10" t="s">
        <v>287</v>
      </c>
      <c r="B34" s="10"/>
      <c r="C34" s="10"/>
      <c r="D34" s="10"/>
      <c r="E34" s="10"/>
      <c r="F34" s="10"/>
    </row>
  </sheetData>
  <mergeCells count="18">
    <mergeCell ref="A1:F1"/>
    <mergeCell ref="A2:F2"/>
    <mergeCell ref="A3:F3"/>
    <mergeCell ref="A5:F5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B16:F16"/>
    <mergeCell ref="A18:B18"/>
    <mergeCell ref="C18:F18"/>
    <mergeCell ref="A20:F20"/>
    <mergeCell ref="A34:F34"/>
  </mergeCells>
  <conditionalFormatting sqref="C18:F18">
    <cfRule type="dataBar" priority="2">
      <dataBar showValue="1" minLength="10" maxLength="90">
        <cfvo type="num" val="0"/>
        <cfvo type="num" val="100"/>
        <color rgb="FFC9A84C"/>
      </dataBar>
      <extLst>
        <ext xmlns:x14="http://schemas.microsoft.com/office/spreadsheetml/2009/9/main" uri="{B025F937-C7B1-47D3-B67F-A62EFF666E3E}">
          <x14:id>{1BD6BB5F-6912-4184-9E2A-FAB11ECE47D7}</x14:id>
        </ext>
      </extLst>
    </cfRule>
  </conditionalFormatting>
  <conditionalFormatting sqref="F22:F31">
    <cfRule type="cellIs" priority="3" operator="equal" aboveAverage="0" equalAverage="0" bottom="0" percent="0" rank="0" text="" dxfId="6">
      <formula>"ADD"</formula>
    </cfRule>
    <cfRule type="cellIs" priority="4" operator="equal" aboveAverage="0" equalAverage="0" bottom="0" percent="0" rank="0" text="" dxfId="4">
      <formula>"ON TARGET"</formula>
    </cfRule>
    <cfRule type="cellIs" priority="5" operator="equal" aboveAverage="0" equalAverage="0" bottom="0" percent="0" rank="0" text="" dxfId="3">
      <formula>"TRIM"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D6BB5F-6912-4184-9E2A-FAB11ECE47D7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C9A84C"/>
              <x14:axisColor rgb="FF000000"/>
            </x14:dataBar>
          </x14:cfRule>
          <xm:sqref>C18:F18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288</v>
      </c>
      <c r="B2" s="12"/>
      <c r="C2" s="12"/>
      <c r="D2" s="12"/>
      <c r="E2" s="12"/>
      <c r="F2" s="12"/>
    </row>
    <row r="3" customFormat="false" ht="15.75" hidden="false" customHeight="true" outlineLevel="0" collapsed="false">
      <c r="A3" s="3" t="s">
        <v>289</v>
      </c>
      <c r="B3" s="3"/>
      <c r="C3" s="3"/>
      <c r="D3" s="3"/>
      <c r="E3" s="3"/>
      <c r="F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13" t="s">
        <v>290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14" t="s">
        <v>246</v>
      </c>
      <c r="B6" s="14" t="s">
        <v>247</v>
      </c>
      <c r="C6" s="14" t="s">
        <v>92</v>
      </c>
      <c r="D6" s="14" t="s">
        <v>291</v>
      </c>
      <c r="E6" s="14" t="s">
        <v>292</v>
      </c>
      <c r="F6" s="14" t="s">
        <v>197</v>
      </c>
    </row>
    <row r="7" customFormat="false" ht="15" hidden="false" customHeight="false" outlineLevel="0" collapsed="false">
      <c r="A7" s="38"/>
      <c r="B7" s="38"/>
      <c r="C7" s="38"/>
      <c r="D7" s="38"/>
      <c r="E7" s="38"/>
      <c r="F7" s="38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</row>
    <row r="9" customFormat="false" ht="15" hidden="false" customHeight="false" outlineLevel="0" collapsed="false">
      <c r="A9" s="38"/>
      <c r="B9" s="38"/>
      <c r="C9" s="38"/>
      <c r="D9" s="38"/>
      <c r="E9" s="38"/>
      <c r="F9" s="38"/>
    </row>
    <row r="11" customFormat="false" ht="19.5" hidden="false" customHeight="true" outlineLevel="0" collapsed="false">
      <c r="A11" s="13" t="s">
        <v>293</v>
      </c>
      <c r="B11" s="13"/>
      <c r="C11" s="13"/>
      <c r="D11" s="13"/>
      <c r="E11" s="13"/>
      <c r="F11" s="13"/>
    </row>
    <row r="12" customFormat="false" ht="21.75" hidden="false" customHeight="true" outlineLevel="0" collapsed="false">
      <c r="A12" s="14" t="s">
        <v>294</v>
      </c>
      <c r="B12" s="14" t="s">
        <v>195</v>
      </c>
      <c r="C12" s="14" t="s">
        <v>295</v>
      </c>
      <c r="D12" s="14" t="s">
        <v>60</v>
      </c>
      <c r="E12" s="14"/>
      <c r="F12" s="14"/>
    </row>
    <row r="13" customFormat="false" ht="15" hidden="false" customHeight="false" outlineLevel="0" collapsed="false">
      <c r="A13" s="38"/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</row>
    <row r="15" customFormat="false" ht="15" hidden="false" customHeight="false" outlineLevel="0" collapsed="false">
      <c r="A15" s="38"/>
      <c r="B15" s="38"/>
      <c r="C15" s="38"/>
      <c r="D15" s="38"/>
      <c r="E15" s="38"/>
      <c r="F15" s="38"/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</row>
    <row r="17" customFormat="false" ht="15" hidden="false" customHeight="false" outlineLevel="0" collapsed="false">
      <c r="A17" s="38"/>
      <c r="B17" s="38"/>
      <c r="C17" s="38"/>
      <c r="D17" s="38"/>
      <c r="E17" s="38"/>
      <c r="F17" s="38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</row>
    <row r="19" customFormat="false" ht="15" hidden="false" customHeight="false" outlineLevel="0" collapsed="false">
      <c r="A19" s="38"/>
      <c r="B19" s="38"/>
      <c r="C19" s="38"/>
      <c r="D19" s="38"/>
      <c r="E19" s="38"/>
      <c r="F19" s="38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</row>
    <row r="23" customFormat="false" ht="27.75" hidden="false" customHeight="true" outlineLevel="0" collapsed="false">
      <c r="A23" s="10" t="s">
        <v>296</v>
      </c>
      <c r="B23" s="10"/>
      <c r="C23" s="10"/>
      <c r="D23" s="10"/>
      <c r="E23" s="10"/>
      <c r="F23" s="10"/>
    </row>
  </sheetData>
  <mergeCells count="6">
    <mergeCell ref="A1:F1"/>
    <mergeCell ref="A2:F2"/>
    <mergeCell ref="A3:F3"/>
    <mergeCell ref="A5:F5"/>
    <mergeCell ref="A11:F11"/>
    <mergeCell ref="A23:F23"/>
  </mergeCells>
  <dataValidations count="11">
    <dataValidation allowBlank="true" error="Select from list" errorStyle="stop" errorTitle="Invalid" operator="between" showDropDown="false" showErrorMessage="false" showInputMessage="false" sqref="C7" type="list">
      <formula1>"Closed,Partial,✓ OPEN"</formula1>
      <formula2>0</formula2>
    </dataValidation>
    <dataValidation allowBlank="true" error="Select from list" errorStyle="stop" errorTitle="Invalid" operator="between" showDropDown="false" showErrorMessage="false" showInputMessage="false" sqref="C8" type="list">
      <formula1>"Closed,Partial,✓ OPEN"</formula1>
      <formula2>0</formula2>
    </dataValidation>
    <dataValidation allowBlank="true" error="Select from list" errorStyle="stop" errorTitle="Invalid" operator="between" showDropDown="false" showErrorMessage="false" showInputMessage="false" sqref="C9" type="list">
      <formula1>"Closed,Partial,✓ OPEN"</formula1>
      <formula2>0</formula2>
    </dataValidation>
    <dataValidation allowBlank="true" error="Select from list" errorStyle="stop" errorTitle="Invalid" operator="between" showDropDown="false" showErrorMessage="false" showInputMessage="false" sqref="C13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4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5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6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7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8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19" type="list">
      <formula1>"Not yet,Partial,Engine 1 covers it,Engine 2 covers it,Engine 3 covers it"</formula1>
      <formula2>0</formula2>
    </dataValidation>
    <dataValidation allowBlank="true" error="Select from list" errorStyle="stop" errorTitle="Invalid" operator="between" showDropDown="false" showErrorMessage="false" showInputMessage="false" sqref="C20" type="list">
      <formula1>"Not yet,Partial,Engine 1 covers it,Engine 2 covers it,Engine 3 covers 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.75" hidden="false" customHeight="true" outlineLevel="0" collapsed="false">
      <c r="A1" s="11" t="s">
        <v>52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297</v>
      </c>
      <c r="B2" s="12"/>
      <c r="C2" s="12"/>
      <c r="D2" s="12"/>
      <c r="E2" s="12"/>
    </row>
    <row r="3" customFormat="false" ht="15.75" hidden="false" customHeight="true" outlineLevel="0" collapsed="false">
      <c r="A3" s="3" t="s">
        <v>298</v>
      </c>
      <c r="B3" s="3"/>
      <c r="C3" s="3"/>
      <c r="D3" s="3"/>
      <c r="E3" s="3"/>
    </row>
    <row r="4" customFormat="false" ht="3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13" t="s">
        <v>299</v>
      </c>
      <c r="B5" s="13"/>
      <c r="C5" s="13"/>
      <c r="D5" s="13"/>
      <c r="E5" s="13"/>
    </row>
    <row r="6" customFormat="false" ht="21.75" hidden="false" customHeight="true" outlineLevel="0" collapsed="false">
      <c r="A6" s="14" t="s">
        <v>300</v>
      </c>
      <c r="B6" s="14" t="s">
        <v>92</v>
      </c>
      <c r="C6" s="14" t="s">
        <v>301</v>
      </c>
      <c r="D6" s="14" t="s">
        <v>302</v>
      </c>
      <c r="E6" s="14"/>
    </row>
    <row r="7" customFormat="false" ht="15" hidden="false" customHeight="false" outlineLevel="0" collapsed="false">
      <c r="A7" s="38"/>
      <c r="B7" s="38"/>
      <c r="C7" s="38"/>
      <c r="D7" s="38"/>
      <c r="E7" s="38"/>
    </row>
    <row r="8" customFormat="false" ht="15" hidden="false" customHeight="false" outlineLevel="0" collapsed="false">
      <c r="A8" s="34"/>
      <c r="B8" s="34"/>
      <c r="C8" s="34"/>
      <c r="D8" s="34"/>
      <c r="E8" s="34"/>
    </row>
    <row r="9" customFormat="false" ht="15" hidden="false" customHeight="false" outlineLevel="0" collapsed="false">
      <c r="A9" s="38"/>
      <c r="B9" s="38"/>
      <c r="C9" s="38"/>
      <c r="D9" s="38"/>
      <c r="E9" s="38"/>
    </row>
    <row r="10" customFormat="false" ht="15" hidden="false" customHeight="false" outlineLevel="0" collapsed="false">
      <c r="A10" s="34"/>
      <c r="B10" s="34"/>
      <c r="C10" s="34"/>
      <c r="D10" s="34"/>
      <c r="E10" s="34"/>
    </row>
    <row r="11" customFormat="false" ht="15" hidden="false" customHeight="false" outlineLevel="0" collapsed="false">
      <c r="A11" s="38"/>
      <c r="B11" s="38"/>
      <c r="C11" s="38"/>
      <c r="D11" s="38"/>
      <c r="E11" s="38"/>
    </row>
    <row r="13" customFormat="false" ht="19.5" hidden="false" customHeight="true" outlineLevel="0" collapsed="false">
      <c r="A13" s="13" t="s">
        <v>303</v>
      </c>
      <c r="B13" s="13"/>
      <c r="C13" s="13"/>
      <c r="D13" s="13"/>
      <c r="E13" s="13"/>
    </row>
    <row r="14" customFormat="false" ht="21.75" hidden="false" customHeight="true" outlineLevel="0" collapsed="false">
      <c r="A14" s="14" t="s">
        <v>304</v>
      </c>
      <c r="B14" s="14" t="s">
        <v>305</v>
      </c>
      <c r="C14" s="14" t="s">
        <v>306</v>
      </c>
      <c r="D14" s="14" t="s">
        <v>307</v>
      </c>
      <c r="E14" s="14" t="s">
        <v>60</v>
      </c>
    </row>
    <row r="15" customFormat="false" ht="15" hidden="false" customHeight="false" outlineLevel="0" collapsed="false">
      <c r="A15" s="38"/>
      <c r="B15" s="38"/>
      <c r="C15" s="38"/>
      <c r="D15" s="38"/>
      <c r="E15" s="38"/>
    </row>
    <row r="16" customFormat="false" ht="15" hidden="false" customHeight="false" outlineLevel="0" collapsed="false">
      <c r="A16" s="34"/>
      <c r="B16" s="34"/>
      <c r="C16" s="34"/>
      <c r="D16" s="34"/>
      <c r="E16" s="34"/>
    </row>
    <row r="17" customFormat="false" ht="15" hidden="false" customHeight="false" outlineLevel="0" collapsed="false">
      <c r="A17" s="38"/>
      <c r="B17" s="38"/>
      <c r="C17" s="38"/>
      <c r="D17" s="38"/>
      <c r="E17" s="38"/>
    </row>
    <row r="18" customFormat="false" ht="15" hidden="false" customHeight="false" outlineLevel="0" collapsed="false">
      <c r="A18" s="34"/>
      <c r="B18" s="34"/>
      <c r="C18" s="34"/>
      <c r="D18" s="34"/>
      <c r="E18" s="34"/>
    </row>
    <row r="19" customFormat="false" ht="15" hidden="false" customHeight="false" outlineLevel="0" collapsed="false">
      <c r="A19" s="38"/>
      <c r="B19" s="38"/>
      <c r="C19" s="38"/>
      <c r="D19" s="38"/>
      <c r="E19" s="38"/>
    </row>
    <row r="21" customFormat="false" ht="19.5" hidden="false" customHeight="true" outlineLevel="0" collapsed="false">
      <c r="A21" s="13" t="s">
        <v>308</v>
      </c>
      <c r="B21" s="13"/>
      <c r="C21" s="13"/>
      <c r="D21" s="13"/>
      <c r="E21" s="13"/>
    </row>
    <row r="22" customFormat="false" ht="21.75" hidden="false" customHeight="true" outlineLevel="0" collapsed="false">
      <c r="A22" s="14" t="s">
        <v>309</v>
      </c>
      <c r="B22" s="14" t="s">
        <v>310</v>
      </c>
      <c r="C22" s="14" t="s">
        <v>311</v>
      </c>
      <c r="D22" s="14" t="s">
        <v>60</v>
      </c>
      <c r="E22" s="14"/>
    </row>
    <row r="23" customFormat="false" ht="15" hidden="false" customHeight="false" outlineLevel="0" collapsed="false">
      <c r="A23" s="38"/>
      <c r="B23" s="38"/>
      <c r="C23" s="38"/>
      <c r="D23" s="38"/>
      <c r="E23" s="38"/>
    </row>
    <row r="24" customFormat="false" ht="15" hidden="false" customHeight="false" outlineLevel="0" collapsed="false">
      <c r="A24" s="34"/>
      <c r="B24" s="34"/>
      <c r="C24" s="34"/>
      <c r="D24" s="34"/>
      <c r="E24" s="34"/>
    </row>
    <row r="25" customFormat="false" ht="15" hidden="false" customHeight="false" outlineLevel="0" collapsed="false">
      <c r="A25" s="38"/>
      <c r="B25" s="38"/>
      <c r="C25" s="38"/>
      <c r="D25" s="38"/>
      <c r="E25" s="38"/>
    </row>
    <row r="26" customFormat="false" ht="15" hidden="false" customHeight="false" outlineLevel="0" collapsed="false">
      <c r="A26" s="34"/>
      <c r="B26" s="34"/>
      <c r="C26" s="34"/>
      <c r="D26" s="34"/>
      <c r="E26" s="34"/>
    </row>
    <row r="29" customFormat="false" ht="27.75" hidden="false" customHeight="true" outlineLevel="0" collapsed="false">
      <c r="A29" s="10" t="s">
        <v>312</v>
      </c>
      <c r="B29" s="10"/>
      <c r="C29" s="10"/>
      <c r="D29" s="10"/>
      <c r="E29" s="10"/>
    </row>
  </sheetData>
  <mergeCells count="7">
    <mergeCell ref="A1:E1"/>
    <mergeCell ref="A2:E2"/>
    <mergeCell ref="A3:E3"/>
    <mergeCell ref="A5:E5"/>
    <mergeCell ref="A13:E13"/>
    <mergeCell ref="A21:E21"/>
    <mergeCell ref="A29:E29"/>
  </mergeCells>
  <dataValidations count="10">
    <dataValidation allowBlank="true" error="Select from list" errorStyle="stop" errorTitle="Invalid" operator="between" showDropDown="false" showErrorMessage="false" showInputMessage="false" sqref="B7" type="list">
      <formula1>"Not created,Draft,✓ Complete"</formula1>
      <formula2>0</formula2>
    </dataValidation>
    <dataValidation allowBlank="true" error="Select from list" errorStyle="stop" errorTitle="Invalid" operator="between" showDropDown="false" showErrorMessage="false" showInputMessage="false" sqref="B8" type="list">
      <formula1>"Not created,Draft,✓ Complete"</formula1>
      <formula2>0</formula2>
    </dataValidation>
    <dataValidation allowBlank="true" error="Select from list" errorStyle="stop" errorTitle="Invalid" operator="between" showDropDown="false" showErrorMessage="false" showInputMessage="false" sqref="B9" type="list">
      <formula1>"Not created,Draft,✓ Complete"</formula1>
      <formula2>0</formula2>
    </dataValidation>
    <dataValidation allowBlank="true" error="Select from list" errorStyle="stop" errorTitle="Invalid" operator="between" showDropDown="false" showErrorMessage="false" showInputMessage="false" sqref="B10" type="list">
      <formula1>"Not created,Draft,✓ Complete"</formula1>
      <formula2>0</formula2>
    </dataValidation>
    <dataValidation allowBlank="true" error="Select from list" errorStyle="stop" errorTitle="Invalid" operator="between" showDropDown="false" showErrorMessage="false" showInputMessage="false" sqref="B11" type="list">
      <formula1>"Not created,Draft,✓ Complete"</formula1>
      <formula2>0</formula2>
    </dataValidation>
    <dataValidation allowBlank="true" error="Select from list" errorStyle="stop" errorTitle="Invalid" operator="between" showDropDown="false" showErrorMessage="false" showInputMessage="false" sqref="B15" type="list">
      <formula1>"Yes,No,✓ Confirmed"</formula1>
      <formula2>0</formula2>
    </dataValidation>
    <dataValidation allowBlank="true" error="Select from list" errorStyle="stop" errorTitle="Invalid" operator="between" showDropDown="false" showErrorMessage="false" showInputMessage="false" sqref="B16" type="list">
      <formula1>"Yes,No,✓ Confirmed"</formula1>
      <formula2>0</formula2>
    </dataValidation>
    <dataValidation allowBlank="true" error="Select from list" errorStyle="stop" errorTitle="Invalid" operator="between" showDropDown="false" showErrorMessage="false" showInputMessage="false" sqref="B17" type="list">
      <formula1>"Yes,No,✓ Confirmed"</formula1>
      <formula2>0</formula2>
    </dataValidation>
    <dataValidation allowBlank="true" error="Select from list" errorStyle="stop" errorTitle="Invalid" operator="between" showDropDown="false" showErrorMessage="false" showInputMessage="false" sqref="B18" type="list">
      <formula1>"Yes,No,✓ Confirmed"</formula1>
      <formula2>0</formula2>
    </dataValidation>
    <dataValidation allowBlank="true" error="Select from list" errorStyle="stop" errorTitle="Invalid" operator="between" showDropDown="false" showErrorMessage="false" showInputMessage="false" sqref="B19" type="list">
      <formula1>"Yes,No,✓ Confirmed"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2026-06-05T22:46:58Z</dcterms:created>
  <dc:creator>openpyxl</dc:creator>
  <dc:description/>
  <dc:language>en-US</dc:language>
  <cp:lastModifiedBy/>
  <dcterms:modified xsi:type="dcterms:W3CDTF">2026-06-05T22:46:58Z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